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209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/Users/schmutz.stefan/Dropbox/GitHub/virome-reports/protocols/"/>
    </mc:Choice>
  </mc:AlternateContent>
  <bookViews>
    <workbookView xWindow="1280" yWindow="460" windowWidth="37120" windowHeight="23540" tabRatio="500"/>
  </bookViews>
  <sheets>
    <sheet name="split" sheetId="3" r:id="rId1"/>
  </sheets>
  <definedNames>
    <definedName name="_xlnm.Print_Area" localSheetId="0">split!$A$1:$O$65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0" i="3" l="1"/>
  <c r="O52" i="3"/>
  <c r="O53" i="3"/>
  <c r="O54" i="3"/>
  <c r="O55" i="3"/>
  <c r="O51" i="3"/>
  <c r="N55" i="3"/>
  <c r="N54" i="3"/>
  <c r="N53" i="3"/>
  <c r="N52" i="3"/>
  <c r="N51" i="3"/>
  <c r="G55" i="3"/>
  <c r="G54" i="3"/>
  <c r="G53" i="3"/>
  <c r="G52" i="3"/>
  <c r="G51" i="3"/>
  <c r="F55" i="3"/>
  <c r="F54" i="3"/>
  <c r="F53" i="3"/>
  <c r="F52" i="3"/>
  <c r="F51" i="3"/>
  <c r="O57" i="3"/>
  <c r="G57" i="3"/>
  <c r="F39" i="3"/>
  <c r="F40" i="3"/>
  <c r="F38" i="3"/>
  <c r="G38" i="3"/>
  <c r="G39" i="3"/>
  <c r="G40" i="3"/>
  <c r="G41" i="3"/>
  <c r="N39" i="3"/>
  <c r="N40" i="3"/>
  <c r="N41" i="3"/>
  <c r="N28" i="3"/>
  <c r="N27" i="3"/>
  <c r="N38" i="3"/>
  <c r="O38" i="3"/>
  <c r="O39" i="3"/>
  <c r="O40" i="3"/>
  <c r="O41" i="3"/>
  <c r="O42" i="3"/>
  <c r="O27" i="3"/>
  <c r="O28" i="3"/>
  <c r="F18" i="3"/>
  <c r="F13" i="3"/>
  <c r="F14" i="3"/>
  <c r="F15" i="3"/>
  <c r="F16" i="3"/>
  <c r="F12" i="3"/>
  <c r="G12" i="3"/>
  <c r="G13" i="3"/>
  <c r="G14" i="3"/>
  <c r="G15" i="3"/>
  <c r="G16" i="3"/>
  <c r="G17" i="3"/>
  <c r="F5" i="3"/>
  <c r="F4" i="3"/>
  <c r="G4" i="3"/>
  <c r="G5" i="3"/>
  <c r="G7" i="3"/>
  <c r="N42" i="3"/>
  <c r="F42" i="3"/>
</calcChain>
</file>

<file path=xl/sharedStrings.xml><?xml version="1.0" encoding="utf-8"?>
<sst xmlns="http://schemas.openxmlformats.org/spreadsheetml/2006/main" count="173" uniqueCount="56">
  <si>
    <t>stock</t>
  </si>
  <si>
    <t>Total</t>
  </si>
  <si>
    <t>dNTP</t>
  </si>
  <si>
    <t>mM</t>
  </si>
  <si>
    <t>96°C</t>
  </si>
  <si>
    <t>Frist Strand Buffer</t>
  </si>
  <si>
    <t>x</t>
    <phoneticPr fontId="0" type="noConversion"/>
  </si>
  <si>
    <t>15°C</t>
  </si>
  <si>
    <t>DTT</t>
  </si>
  <si>
    <t>hold</t>
  </si>
  <si>
    <t>SuperScript III RT</t>
  </si>
  <si>
    <t>Klenov Fragment</t>
  </si>
  <si>
    <t>40x</t>
  </si>
  <si>
    <t>TaqGold Buffer</t>
  </si>
  <si>
    <t>454-A distinct Primer</t>
  </si>
  <si>
    <t>TaqGold</t>
  </si>
  <si>
    <t>Template</t>
  </si>
  <si>
    <t>DNA</t>
  </si>
  <si>
    <t xml:space="preserve">NEB buffer 2 </t>
  </si>
  <si>
    <t>eluate</t>
  </si>
  <si>
    <t>primer 454-8N</t>
  </si>
  <si>
    <t>NEB buffer 2</t>
  </si>
  <si>
    <t>Subtotal</t>
  </si>
  <si>
    <t>x</t>
  </si>
  <si>
    <t>U</t>
  </si>
  <si>
    <t>42°C</t>
  </si>
  <si>
    <t>2nd strand synthesis RNA</t>
  </si>
  <si>
    <t>2nd strand synthesis DNA</t>
  </si>
  <si>
    <t>RT RNA</t>
  </si>
  <si>
    <t>65°C</t>
  </si>
  <si>
    <r>
      <t>H</t>
    </r>
    <r>
      <rPr>
        <vertAlign val="subscript"/>
        <sz val="12"/>
        <rFont val="Arial"/>
      </rPr>
      <t>2</t>
    </r>
    <r>
      <rPr>
        <sz val="12"/>
        <rFont val="Arial"/>
      </rPr>
      <t>O</t>
    </r>
  </si>
  <si>
    <t>reagent</t>
  </si>
  <si>
    <t>final</t>
    <phoneticPr fontId="0" type="noConversion"/>
  </si>
  <si>
    <t>µL</t>
  </si>
  <si>
    <t>µM</t>
  </si>
  <si>
    <t>5 min</t>
  </si>
  <si>
    <t>-</t>
  </si>
  <si>
    <t>U/µL</t>
  </si>
  <si>
    <t>RT mix preheated, 42°C</t>
  </si>
  <si>
    <t>60 min</t>
  </si>
  <si>
    <t>30 sec</t>
  </si>
  <si>
    <t>4°C</t>
  </si>
  <si>
    <t>94°C</t>
  </si>
  <si>
    <t>10°C</t>
  </si>
  <si>
    <t>2 min</t>
  </si>
  <si>
    <t>37°C</t>
  </si>
  <si>
    <t>75°C</t>
  </si>
  <si>
    <t>30 min</t>
  </si>
  <si>
    <t>20 min</t>
  </si>
  <si>
    <t>15 min</t>
  </si>
  <si>
    <t>1 min</t>
  </si>
  <si>
    <t>40°C</t>
  </si>
  <si>
    <t>50°C</t>
  </si>
  <si>
    <t>72°C</t>
  </si>
  <si>
    <t>Anchor PCR RNA</t>
  </si>
  <si>
    <t>Anchor PCR DNA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</si>
</sst>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sz val="12"/>
      <name val="Arial"/>
    </font>
    <font>
      <b/>
      <sz val="12"/>
      <name val="Arial"/>
    </font>
    <font>
      <vertAlign val="subscript"/>
      <sz val="12"/>
      <name val="Arial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6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1">
    <xf numFmtId="0" fontId="0" fillId="0" borderId="0" xfId="0"/>
    <xf numFmtId="0" fontId="4" fillId="0" borderId="0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right"/>
    </xf>
    <xf numFmtId="49" fontId="4" fillId="0" borderId="0" xfId="0" applyNumberFormat="1" applyFont="1" applyFill="1" applyBorder="1" applyAlignment="1">
      <alignment horizontal="right"/>
    </xf>
    <xf numFmtId="0" fontId="4" fillId="0" borderId="0" xfId="0" applyFont="1" applyFill="1" applyAlignment="1">
      <alignment horizontal="right"/>
    </xf>
    <xf numFmtId="20" fontId="4" fillId="0" borderId="0" xfId="0" applyNumberFormat="1" applyFont="1" applyFill="1" applyBorder="1" applyAlignment="1">
      <alignment horizontal="right"/>
    </xf>
    <xf numFmtId="164" fontId="4" fillId="0" borderId="0" xfId="0" applyNumberFormat="1" applyFont="1" applyFill="1" applyBorder="1" applyAlignment="1">
      <alignment horizontal="right"/>
    </xf>
    <xf numFmtId="1" fontId="4" fillId="0" borderId="0" xfId="0" applyNumberFormat="1" applyFont="1" applyFill="1" applyBorder="1" applyAlignment="1">
      <alignment horizontal="right"/>
    </xf>
    <xf numFmtId="0" fontId="4" fillId="0" borderId="0" xfId="0" applyFont="1" applyFill="1" applyAlignment="1">
      <alignment horizontal="left"/>
    </xf>
    <xf numFmtId="0" fontId="4" fillId="0" borderId="0" xfId="0" applyFont="1" applyFill="1" applyAlignment="1"/>
    <xf numFmtId="2" fontId="4" fillId="0" borderId="0" xfId="0" applyNumberFormat="1" applyFont="1" applyFill="1" applyBorder="1" applyAlignment="1">
      <alignment horizontal="right"/>
    </xf>
    <xf numFmtId="0" fontId="5" fillId="0" borderId="0" xfId="0" applyFont="1" applyFill="1" applyAlignment="1">
      <alignment horizontal="left"/>
    </xf>
    <xf numFmtId="49" fontId="4" fillId="0" borderId="1" xfId="0" applyNumberFormat="1" applyFont="1" applyFill="1" applyBorder="1" applyAlignment="1">
      <alignment horizontal="left"/>
    </xf>
    <xf numFmtId="0" fontId="4" fillId="0" borderId="1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5" fillId="0" borderId="0" xfId="0" applyFont="1" applyFill="1" applyAlignment="1"/>
    <xf numFmtId="49" fontId="4" fillId="0" borderId="1" xfId="0" applyNumberFormat="1" applyFont="1" applyFill="1" applyBorder="1" applyAlignment="1"/>
    <xf numFmtId="0" fontId="4" fillId="0" borderId="0" xfId="0" applyFont="1" applyFill="1" applyBorder="1" applyAlignment="1"/>
    <xf numFmtId="0" fontId="4" fillId="0" borderId="2" xfId="0" applyFont="1" applyFill="1" applyBorder="1" applyAlignment="1"/>
    <xf numFmtId="0" fontId="4" fillId="0" borderId="2" xfId="0" applyFont="1" applyFill="1" applyBorder="1" applyAlignment="1">
      <alignment horizontal="right"/>
    </xf>
    <xf numFmtId="164" fontId="4" fillId="0" borderId="2" xfId="0" applyNumberFormat="1" applyFont="1" applyFill="1" applyBorder="1" applyAlignment="1">
      <alignment horizontal="right"/>
    </xf>
    <xf numFmtId="1" fontId="4" fillId="0" borderId="2" xfId="0" applyNumberFormat="1" applyFont="1" applyFill="1" applyBorder="1" applyAlignment="1">
      <alignment horizontal="right"/>
    </xf>
    <xf numFmtId="164" fontId="4" fillId="0" borderId="1" xfId="0" applyNumberFormat="1" applyFont="1" applyFill="1" applyBorder="1" applyAlignment="1">
      <alignment horizontal="right"/>
    </xf>
    <xf numFmtId="164" fontId="4" fillId="0" borderId="1" xfId="0" quotePrefix="1" applyNumberFormat="1" applyFont="1" applyFill="1" applyBorder="1" applyAlignment="1">
      <alignment horizontal="right"/>
    </xf>
    <xf numFmtId="1" fontId="4" fillId="0" borderId="1" xfId="0" applyNumberFormat="1" applyFont="1" applyFill="1" applyBorder="1" applyAlignment="1">
      <alignment horizontal="right"/>
    </xf>
    <xf numFmtId="0" fontId="4" fillId="0" borderId="1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1" xfId="0" applyFont="1" applyFill="1" applyBorder="1" applyAlignment="1"/>
    <xf numFmtId="20" fontId="4" fillId="0" borderId="1" xfId="0" applyNumberFormat="1" applyFont="1" applyFill="1" applyBorder="1" applyAlignment="1">
      <alignment horizontal="right"/>
    </xf>
    <xf numFmtId="49" fontId="4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6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800100</xdr:colOff>
      <xdr:row>3</xdr:row>
      <xdr:rowOff>0</xdr:rowOff>
    </xdr:from>
    <xdr:to>
      <xdr:col>14</xdr:col>
      <xdr:colOff>431800</xdr:colOff>
      <xdr:row>7</xdr:row>
      <xdr:rowOff>0</xdr:rowOff>
    </xdr:to>
    <xdr:sp macro="" textlink="">
      <xdr:nvSpPr>
        <xdr:cNvPr id="2" name="TextBox 1"/>
        <xdr:cNvSpPr txBox="1"/>
      </xdr:nvSpPr>
      <xdr:spPr>
        <a:xfrm>
          <a:off x="5588000" y="609600"/>
          <a:ext cx="4724400" cy="812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Arial" charset="0"/>
              <a:ea typeface="Arial" charset="0"/>
              <a:cs typeface="Arial" charset="0"/>
            </a:rPr>
            <a:t>How to use:</a:t>
          </a:r>
        </a:p>
        <a:p>
          <a:r>
            <a:rPr lang="en-US" sz="1100">
              <a:latin typeface="Arial" charset="0"/>
              <a:ea typeface="Arial" charset="0"/>
              <a:cs typeface="Arial" charset="0"/>
            </a:rPr>
            <a:t>- insert</a:t>
          </a:r>
          <a:r>
            <a:rPr lang="en-US" sz="1100" baseline="0">
              <a:latin typeface="Arial" charset="0"/>
              <a:ea typeface="Arial" charset="0"/>
              <a:cs typeface="Arial" charset="0"/>
            </a:rPr>
            <a:t> amount of reactions in green fields</a:t>
          </a:r>
        </a:p>
        <a:p>
          <a:r>
            <a:rPr lang="en-US" sz="1100" baseline="0">
              <a:latin typeface="Arial" charset="0"/>
              <a:ea typeface="Arial" charset="0"/>
              <a:cs typeface="Arial" charset="0"/>
            </a:rPr>
            <a:t>- all volumes are then calculated in µL</a:t>
          </a:r>
        </a:p>
        <a:p>
          <a:r>
            <a:rPr lang="en-US" sz="1100" baseline="0">
              <a:latin typeface="Arial" charset="0"/>
              <a:ea typeface="Arial" charset="0"/>
              <a:cs typeface="Arial" charset="0"/>
            </a:rPr>
            <a:t>- find detailed info about the procedure in README.md (split)</a:t>
          </a:r>
          <a:endParaRPr lang="en-US" sz="1100">
            <a:latin typeface="Arial" charset="0"/>
            <a:ea typeface="Arial" charset="0"/>
            <a:cs typeface="Arial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5"/>
  <sheetViews>
    <sheetView tabSelected="1" workbookViewId="0">
      <selection activeCell="O31" sqref="O31"/>
    </sheetView>
  </sheetViews>
  <sheetFormatPr baseColWidth="10" defaultRowHeight="16" customHeight="1" x14ac:dyDescent="0.2"/>
  <cols>
    <col min="1" max="1" width="21.1640625" style="9" customWidth="1"/>
    <col min="2" max="7" width="6.83203125" style="4" customWidth="1"/>
    <col min="8" max="8" width="10.83203125" style="4"/>
    <col min="9" max="9" width="21" style="4" customWidth="1"/>
    <col min="10" max="15" width="6.83203125" style="4" customWidth="1"/>
    <col min="16" max="16384" width="10.83203125" style="9"/>
  </cols>
  <sheetData>
    <row r="1" spans="1:7" ht="16" customHeight="1" x14ac:dyDescent="0.2">
      <c r="A1" s="15" t="s">
        <v>28</v>
      </c>
    </row>
    <row r="3" spans="1:7" ht="16" customHeight="1" x14ac:dyDescent="0.2">
      <c r="A3" s="16" t="s">
        <v>31</v>
      </c>
      <c r="B3" s="29" t="s">
        <v>0</v>
      </c>
      <c r="C3" s="30"/>
      <c r="D3" s="29" t="s">
        <v>32</v>
      </c>
      <c r="E3" s="30"/>
      <c r="F3" s="13" t="s">
        <v>33</v>
      </c>
      <c r="G3" s="14"/>
    </row>
    <row r="4" spans="1:7" ht="16" customHeight="1" x14ac:dyDescent="0.25">
      <c r="A4" s="17" t="s">
        <v>30</v>
      </c>
      <c r="B4" s="2"/>
      <c r="C4" s="2"/>
      <c r="D4" s="7"/>
      <c r="E4" s="7"/>
      <c r="F4" s="6">
        <f>F7-SUM(F5:F6)</f>
        <v>4</v>
      </c>
      <c r="G4" s="6">
        <f>F4*G$3</f>
        <v>0</v>
      </c>
    </row>
    <row r="5" spans="1:7" ht="16" customHeight="1" x14ac:dyDescent="0.2">
      <c r="A5" s="17" t="s">
        <v>20</v>
      </c>
      <c r="B5" s="2">
        <v>100</v>
      </c>
      <c r="C5" s="1" t="s">
        <v>34</v>
      </c>
      <c r="D5" s="7">
        <v>5</v>
      </c>
      <c r="E5" s="1" t="s">
        <v>34</v>
      </c>
      <c r="F5" s="6">
        <f>D5*F$18/B5</f>
        <v>1</v>
      </c>
      <c r="G5" s="6">
        <f>F5*G$3</f>
        <v>0</v>
      </c>
    </row>
    <row r="6" spans="1:7" ht="16" customHeight="1" x14ac:dyDescent="0.2">
      <c r="A6" s="17" t="s">
        <v>19</v>
      </c>
      <c r="B6" s="2"/>
      <c r="C6" s="2"/>
      <c r="D6" s="7"/>
      <c r="E6" s="2"/>
      <c r="F6" s="6">
        <v>5</v>
      </c>
      <c r="G6" s="23" t="s">
        <v>36</v>
      </c>
    </row>
    <row r="7" spans="1:7" ht="16" customHeight="1" x14ac:dyDescent="0.2">
      <c r="A7" s="18" t="s">
        <v>22</v>
      </c>
      <c r="B7" s="19"/>
      <c r="C7" s="19"/>
      <c r="D7" s="20"/>
      <c r="E7" s="20"/>
      <c r="F7" s="20">
        <v>10</v>
      </c>
      <c r="G7" s="6">
        <f>SUM(G4:G6)</f>
        <v>0</v>
      </c>
    </row>
    <row r="8" spans="1:7" ht="16" customHeight="1" x14ac:dyDescent="0.2">
      <c r="A8" s="17"/>
      <c r="B8" s="2"/>
      <c r="C8" s="2"/>
      <c r="D8" s="6"/>
      <c r="E8" s="6"/>
      <c r="F8" s="7"/>
      <c r="G8" s="7"/>
    </row>
    <row r="9" spans="1:7" ht="16" customHeight="1" x14ac:dyDescent="0.2">
      <c r="A9" s="17"/>
      <c r="B9" s="2"/>
      <c r="C9" s="2"/>
      <c r="D9" s="2"/>
      <c r="E9" s="2" t="s">
        <v>29</v>
      </c>
      <c r="F9" s="5" t="s">
        <v>35</v>
      </c>
    </row>
    <row r="10" spans="1:7" ht="16" customHeight="1" x14ac:dyDescent="0.2">
      <c r="A10" s="17"/>
      <c r="B10" s="2"/>
      <c r="C10" s="2"/>
      <c r="D10" s="2"/>
      <c r="E10" s="2"/>
      <c r="F10" s="2"/>
      <c r="G10" s="2"/>
    </row>
    <row r="11" spans="1:7" ht="16" customHeight="1" x14ac:dyDescent="0.2">
      <c r="A11" s="16" t="s">
        <v>31</v>
      </c>
      <c r="B11" s="29" t="s">
        <v>0</v>
      </c>
      <c r="C11" s="30"/>
      <c r="D11" s="29" t="s">
        <v>32</v>
      </c>
      <c r="E11" s="30"/>
      <c r="F11" s="13" t="s">
        <v>33</v>
      </c>
      <c r="G11" s="14"/>
    </row>
    <row r="12" spans="1:7" ht="16" customHeight="1" x14ac:dyDescent="0.25">
      <c r="A12" s="17" t="s">
        <v>30</v>
      </c>
      <c r="B12" s="2"/>
      <c r="C12" s="2"/>
      <c r="D12" s="7"/>
      <c r="E12" s="7"/>
      <c r="F12" s="6">
        <f>F17-SUM(F13:F16)</f>
        <v>2</v>
      </c>
      <c r="G12" s="6">
        <f>F12*G$11</f>
        <v>0</v>
      </c>
    </row>
    <row r="13" spans="1:7" ht="16" customHeight="1" x14ac:dyDescent="0.2">
      <c r="A13" s="17" t="s">
        <v>2</v>
      </c>
      <c r="B13" s="2">
        <v>10</v>
      </c>
      <c r="C13" s="1" t="s">
        <v>3</v>
      </c>
      <c r="D13" s="6">
        <v>0.5</v>
      </c>
      <c r="E13" s="1" t="s">
        <v>3</v>
      </c>
      <c r="F13" s="6">
        <f>D13*F$18/B13</f>
        <v>1</v>
      </c>
      <c r="G13" s="6">
        <f t="shared" ref="G13:G16" si="0">F13*G$11</f>
        <v>0</v>
      </c>
    </row>
    <row r="14" spans="1:7" ht="16" customHeight="1" x14ac:dyDescent="0.2">
      <c r="A14" s="17" t="s">
        <v>5</v>
      </c>
      <c r="B14" s="2">
        <v>5</v>
      </c>
      <c r="C14" s="1" t="s">
        <v>6</v>
      </c>
      <c r="D14" s="7">
        <v>1</v>
      </c>
      <c r="E14" s="1" t="s">
        <v>6</v>
      </c>
      <c r="F14" s="6">
        <f>D14*F$18/B14</f>
        <v>4</v>
      </c>
      <c r="G14" s="6">
        <f t="shared" si="0"/>
        <v>0</v>
      </c>
    </row>
    <row r="15" spans="1:7" ht="16" customHeight="1" x14ac:dyDescent="0.2">
      <c r="A15" s="17" t="s">
        <v>8</v>
      </c>
      <c r="B15" s="2">
        <v>100</v>
      </c>
      <c r="C15" s="1" t="s">
        <v>3</v>
      </c>
      <c r="D15" s="7">
        <v>10</v>
      </c>
      <c r="E15" s="1" t="s">
        <v>3</v>
      </c>
      <c r="F15" s="6">
        <f>D15*F$18/B15</f>
        <v>2</v>
      </c>
      <c r="G15" s="6">
        <f>F15*G$11</f>
        <v>0</v>
      </c>
    </row>
    <row r="16" spans="1:7" ht="16" customHeight="1" x14ac:dyDescent="0.2">
      <c r="A16" s="17" t="s">
        <v>10</v>
      </c>
      <c r="B16" s="2">
        <v>200</v>
      </c>
      <c r="C16" s="1" t="s">
        <v>37</v>
      </c>
      <c r="D16" s="7">
        <v>10</v>
      </c>
      <c r="E16" s="1" t="s">
        <v>37</v>
      </c>
      <c r="F16" s="6">
        <f>D16*F$18/B16</f>
        <v>1</v>
      </c>
      <c r="G16" s="22">
        <f t="shared" si="0"/>
        <v>0</v>
      </c>
    </row>
    <row r="17" spans="1:16" ht="16" customHeight="1" x14ac:dyDescent="0.2">
      <c r="A17" s="18" t="s">
        <v>22</v>
      </c>
      <c r="B17" s="19"/>
      <c r="C17" s="19"/>
      <c r="D17" s="21"/>
      <c r="E17" s="19"/>
      <c r="F17" s="20">
        <v>10</v>
      </c>
      <c r="G17" s="6">
        <f>SUM(G12:G16)</f>
        <v>0</v>
      </c>
    </row>
    <row r="18" spans="1:16" ht="16" customHeight="1" x14ac:dyDescent="0.2">
      <c r="A18" s="17" t="s">
        <v>1</v>
      </c>
      <c r="B18" s="2"/>
      <c r="C18" s="2"/>
      <c r="D18" s="6"/>
      <c r="E18" s="6"/>
      <c r="F18" s="6">
        <f>F17+F7</f>
        <v>20</v>
      </c>
      <c r="G18" s="6"/>
    </row>
    <row r="19" spans="1:16" ht="16" customHeight="1" x14ac:dyDescent="0.2">
      <c r="A19" s="17"/>
      <c r="B19" s="2"/>
      <c r="C19" s="2"/>
      <c r="D19" s="6"/>
      <c r="E19" s="6"/>
      <c r="F19" s="7"/>
      <c r="G19" s="7"/>
    </row>
    <row r="20" spans="1:16" ht="16" customHeight="1" x14ac:dyDescent="0.2">
      <c r="A20" s="17"/>
      <c r="B20" s="17"/>
      <c r="C20" s="17"/>
      <c r="D20" s="1"/>
      <c r="E20" s="2"/>
      <c r="F20" s="2" t="s">
        <v>38</v>
      </c>
      <c r="G20" s="2"/>
    </row>
    <row r="21" spans="1:16" ht="16" customHeight="1" x14ac:dyDescent="0.2">
      <c r="A21" s="17"/>
      <c r="B21" s="17"/>
      <c r="C21" s="17"/>
      <c r="D21" s="1"/>
      <c r="E21" s="2"/>
      <c r="F21" s="2"/>
      <c r="G21" s="2"/>
    </row>
    <row r="22" spans="1:16" ht="16" customHeight="1" x14ac:dyDescent="0.2">
      <c r="A22" s="17"/>
      <c r="B22" s="17"/>
      <c r="C22" s="2"/>
      <c r="D22" s="2"/>
      <c r="E22" s="2" t="s">
        <v>25</v>
      </c>
      <c r="F22" s="3" t="s">
        <v>39</v>
      </c>
      <c r="G22" s="3"/>
    </row>
    <row r="23" spans="1:16" ht="16" customHeight="1" x14ac:dyDescent="0.2">
      <c r="A23" s="17"/>
      <c r="B23" s="17"/>
      <c r="C23" s="2"/>
      <c r="D23" s="2"/>
      <c r="E23" s="2" t="s">
        <v>4</v>
      </c>
      <c r="F23" s="3" t="s">
        <v>35</v>
      </c>
      <c r="G23" s="3"/>
    </row>
    <row r="24" spans="1:16" ht="16" customHeight="1" x14ac:dyDescent="0.2">
      <c r="A24" s="17"/>
      <c r="B24" s="17"/>
      <c r="C24" s="17"/>
      <c r="D24" s="2"/>
      <c r="E24" s="2" t="s">
        <v>7</v>
      </c>
      <c r="F24" s="3" t="s">
        <v>40</v>
      </c>
      <c r="G24" s="3"/>
      <c r="I24" s="11" t="s">
        <v>17</v>
      </c>
    </row>
    <row r="25" spans="1:16" ht="16" customHeight="1" x14ac:dyDescent="0.2">
      <c r="A25" s="17"/>
      <c r="B25" s="17"/>
      <c r="C25" s="17"/>
      <c r="D25" s="2"/>
      <c r="E25" s="2" t="s">
        <v>41</v>
      </c>
      <c r="F25" s="5" t="s">
        <v>9</v>
      </c>
      <c r="G25" s="5"/>
      <c r="I25" s="8"/>
    </row>
    <row r="26" spans="1:16" ht="16" customHeight="1" x14ac:dyDescent="0.2">
      <c r="A26" s="17"/>
      <c r="B26" s="2"/>
      <c r="C26" s="2"/>
      <c r="D26" s="2"/>
      <c r="E26" s="2"/>
      <c r="F26" s="2"/>
      <c r="G26" s="2"/>
      <c r="I26" s="12" t="s">
        <v>31</v>
      </c>
      <c r="J26" s="29" t="s">
        <v>0</v>
      </c>
      <c r="K26" s="30"/>
      <c r="L26" s="29" t="s">
        <v>32</v>
      </c>
      <c r="M26" s="30"/>
      <c r="N26" s="13" t="s">
        <v>33</v>
      </c>
      <c r="O26" s="14"/>
    </row>
    <row r="27" spans="1:16" ht="16" customHeight="1" x14ac:dyDescent="0.25">
      <c r="I27" s="1" t="s">
        <v>30</v>
      </c>
      <c r="J27" s="2"/>
      <c r="K27" s="2"/>
      <c r="L27" s="7"/>
      <c r="M27" s="7"/>
      <c r="N27" s="6">
        <f>N30-SUM(N28:N29)</f>
        <v>4</v>
      </c>
      <c r="O27" s="6">
        <f>N27*O$26</f>
        <v>0</v>
      </c>
    </row>
    <row r="28" spans="1:16" ht="16" customHeight="1" x14ac:dyDescent="0.2">
      <c r="I28" s="1" t="s">
        <v>20</v>
      </c>
      <c r="J28" s="2">
        <v>100</v>
      </c>
      <c r="K28" s="1" t="s">
        <v>34</v>
      </c>
      <c r="L28" s="7">
        <v>5</v>
      </c>
      <c r="M28" s="1" t="s">
        <v>34</v>
      </c>
      <c r="N28" s="6">
        <f>L28*N$43/J28</f>
        <v>1</v>
      </c>
      <c r="O28" s="6">
        <f t="shared" ref="O28:O29" si="1">N28*O$26</f>
        <v>0</v>
      </c>
    </row>
    <row r="29" spans="1:16" ht="16" customHeight="1" x14ac:dyDescent="0.2">
      <c r="I29" s="25" t="s">
        <v>19</v>
      </c>
      <c r="J29" s="13"/>
      <c r="K29" s="13"/>
      <c r="L29" s="24"/>
      <c r="M29" s="13"/>
      <c r="N29" s="22">
        <v>5</v>
      </c>
      <c r="O29" s="22" t="s">
        <v>36</v>
      </c>
    </row>
    <row r="30" spans="1:16" ht="16" customHeight="1" x14ac:dyDescent="0.2">
      <c r="I30" s="1" t="s">
        <v>22</v>
      </c>
      <c r="J30" s="2"/>
      <c r="K30" s="2"/>
      <c r="L30" s="6"/>
      <c r="M30" s="6"/>
      <c r="N30" s="6">
        <v>10</v>
      </c>
      <c r="O30" s="6">
        <f>SUM(O27:O29)</f>
        <v>0</v>
      </c>
    </row>
    <row r="31" spans="1:16" ht="16" customHeight="1" x14ac:dyDescent="0.2">
      <c r="I31" s="1"/>
      <c r="J31" s="2"/>
      <c r="K31" s="2"/>
      <c r="L31" s="6"/>
      <c r="M31" s="6"/>
      <c r="N31" s="7"/>
      <c r="O31" s="7"/>
    </row>
    <row r="32" spans="1:16" ht="16" customHeight="1" x14ac:dyDescent="0.2">
      <c r="C32" s="2"/>
      <c r="D32" s="2"/>
      <c r="E32" s="2" t="s">
        <v>42</v>
      </c>
      <c r="F32" s="5" t="s">
        <v>44</v>
      </c>
      <c r="G32" s="5"/>
      <c r="I32" s="1"/>
      <c r="J32" s="2"/>
      <c r="K32" s="2"/>
      <c r="L32" s="2"/>
      <c r="M32" s="2" t="s">
        <v>42</v>
      </c>
      <c r="N32" s="5" t="s">
        <v>44</v>
      </c>
      <c r="O32" s="5"/>
      <c r="P32" s="4"/>
    </row>
    <row r="33" spans="1:17" ht="16" customHeight="1" x14ac:dyDescent="0.2">
      <c r="C33" s="2"/>
      <c r="D33" s="2"/>
      <c r="E33" s="2" t="s">
        <v>43</v>
      </c>
      <c r="F33" s="5" t="s">
        <v>35</v>
      </c>
      <c r="G33" s="5"/>
      <c r="I33" s="1"/>
      <c r="J33" s="2"/>
      <c r="K33" s="2"/>
      <c r="L33" s="2"/>
      <c r="M33" s="2" t="s">
        <v>43</v>
      </c>
      <c r="N33" s="5" t="s">
        <v>35</v>
      </c>
      <c r="O33" s="5"/>
      <c r="P33" s="4"/>
    </row>
    <row r="34" spans="1:17" ht="16" customHeight="1" x14ac:dyDescent="0.2">
      <c r="I34" s="8"/>
    </row>
    <row r="35" spans="1:17" ht="16" customHeight="1" x14ac:dyDescent="0.2">
      <c r="A35" s="15" t="s">
        <v>26</v>
      </c>
      <c r="I35" s="11" t="s">
        <v>27</v>
      </c>
    </row>
    <row r="36" spans="1:17" ht="16" customHeight="1" x14ac:dyDescent="0.2">
      <c r="I36" s="8"/>
    </row>
    <row r="37" spans="1:17" ht="16" customHeight="1" x14ac:dyDescent="0.2">
      <c r="A37" s="16" t="s">
        <v>31</v>
      </c>
      <c r="B37" s="29" t="s">
        <v>0</v>
      </c>
      <c r="C37" s="30"/>
      <c r="D37" s="29" t="s">
        <v>32</v>
      </c>
      <c r="E37" s="30"/>
      <c r="F37" s="13" t="s">
        <v>33</v>
      </c>
      <c r="G37" s="14"/>
      <c r="I37" s="12" t="s">
        <v>31</v>
      </c>
      <c r="J37" s="29" t="s">
        <v>0</v>
      </c>
      <c r="K37" s="30"/>
      <c r="L37" s="29" t="s">
        <v>32</v>
      </c>
      <c r="M37" s="30"/>
      <c r="N37" s="13" t="s">
        <v>33</v>
      </c>
      <c r="O37" s="14"/>
    </row>
    <row r="38" spans="1:17" ht="16" customHeight="1" x14ac:dyDescent="0.25">
      <c r="A38" s="17" t="s">
        <v>30</v>
      </c>
      <c r="B38" s="2"/>
      <c r="C38" s="2"/>
      <c r="D38" s="7"/>
      <c r="E38" s="7"/>
      <c r="F38" s="6">
        <f>F41-SUM(F39:F40)</f>
        <v>8</v>
      </c>
      <c r="G38" s="6">
        <f>F38*G$37</f>
        <v>0</v>
      </c>
      <c r="I38" s="1" t="s">
        <v>30</v>
      </c>
      <c r="J38" s="2"/>
      <c r="K38" s="2"/>
      <c r="L38" s="10"/>
      <c r="M38" s="2"/>
      <c r="N38" s="6">
        <f>N43-SUM(N39:N41)-SUM(N27:N29)</f>
        <v>6</v>
      </c>
      <c r="O38" s="6">
        <f>N38*O$37</f>
        <v>0</v>
      </c>
    </row>
    <row r="39" spans="1:17" ht="16" customHeight="1" x14ac:dyDescent="0.2">
      <c r="A39" s="17" t="s">
        <v>21</v>
      </c>
      <c r="B39" s="2">
        <v>10</v>
      </c>
      <c r="C39" s="1" t="s">
        <v>23</v>
      </c>
      <c r="D39" s="7">
        <v>1</v>
      </c>
      <c r="E39" s="26" t="s">
        <v>23</v>
      </c>
      <c r="F39" s="6">
        <f>D39*F41/B39</f>
        <v>1</v>
      </c>
      <c r="G39" s="6">
        <f t="shared" ref="G39:G40" si="2">F39*G$37</f>
        <v>0</v>
      </c>
      <c r="I39" s="1" t="s">
        <v>2</v>
      </c>
      <c r="J39" s="2">
        <v>10</v>
      </c>
      <c r="K39" s="1" t="s">
        <v>3</v>
      </c>
      <c r="L39" s="10">
        <v>0.5</v>
      </c>
      <c r="M39" s="1" t="s">
        <v>3</v>
      </c>
      <c r="N39" s="6">
        <f>L39*N43/J39</f>
        <v>1</v>
      </c>
      <c r="O39" s="6">
        <f t="shared" ref="O39:O41" si="3">N39*O$37</f>
        <v>0</v>
      </c>
    </row>
    <row r="40" spans="1:17" ht="16" customHeight="1" x14ac:dyDescent="0.2">
      <c r="A40" s="17" t="s">
        <v>11</v>
      </c>
      <c r="B40" s="2">
        <v>5</v>
      </c>
      <c r="C40" s="1" t="s">
        <v>37</v>
      </c>
      <c r="D40" s="6">
        <v>5</v>
      </c>
      <c r="E40" s="1" t="s">
        <v>24</v>
      </c>
      <c r="F40" s="6">
        <f>D40/B40</f>
        <v>1</v>
      </c>
      <c r="G40" s="22">
        <f t="shared" si="2"/>
        <v>0</v>
      </c>
      <c r="I40" s="1" t="s">
        <v>18</v>
      </c>
      <c r="J40" s="2">
        <v>10</v>
      </c>
      <c r="K40" s="1" t="s">
        <v>23</v>
      </c>
      <c r="L40" s="2">
        <v>1</v>
      </c>
      <c r="M40" s="1" t="s">
        <v>23</v>
      </c>
      <c r="N40" s="6">
        <f>L40*N43/J40</f>
        <v>2</v>
      </c>
      <c r="O40" s="6">
        <f>N40*O$37</f>
        <v>0</v>
      </c>
    </row>
    <row r="41" spans="1:17" ht="16" customHeight="1" x14ac:dyDescent="0.2">
      <c r="A41" s="18" t="s">
        <v>22</v>
      </c>
      <c r="B41" s="19"/>
      <c r="C41" s="19"/>
      <c r="D41" s="20"/>
      <c r="E41" s="20"/>
      <c r="F41" s="20">
        <v>10</v>
      </c>
      <c r="G41" s="6">
        <f>SUM(G38:G40)</f>
        <v>0</v>
      </c>
      <c r="I41" s="25" t="s">
        <v>11</v>
      </c>
      <c r="J41" s="13">
        <v>5</v>
      </c>
      <c r="K41" s="25" t="s">
        <v>37</v>
      </c>
      <c r="L41" s="22">
        <v>5</v>
      </c>
      <c r="M41" s="25" t="s">
        <v>24</v>
      </c>
      <c r="N41" s="22">
        <f>L41/J41</f>
        <v>1</v>
      </c>
      <c r="O41" s="22">
        <f t="shared" si="3"/>
        <v>0</v>
      </c>
      <c r="P41" s="17"/>
    </row>
    <row r="42" spans="1:17" ht="16" customHeight="1" x14ac:dyDescent="0.2">
      <c r="A42" s="17" t="s">
        <v>1</v>
      </c>
      <c r="B42" s="2"/>
      <c r="C42" s="2"/>
      <c r="D42" s="6"/>
      <c r="E42" s="6"/>
      <c r="F42" s="6">
        <f>F41+F18</f>
        <v>30</v>
      </c>
      <c r="G42" s="6"/>
      <c r="H42" s="9"/>
      <c r="I42" s="1" t="s">
        <v>22</v>
      </c>
      <c r="J42" s="2"/>
      <c r="K42" s="2"/>
      <c r="L42" s="6"/>
      <c r="M42" s="6"/>
      <c r="N42" s="6">
        <f>SUM(N38:N41)</f>
        <v>10</v>
      </c>
      <c r="O42" s="6">
        <f>SUM(O38:O41)</f>
        <v>0</v>
      </c>
      <c r="P42" s="17"/>
    </row>
    <row r="43" spans="1:17" ht="16" customHeight="1" x14ac:dyDescent="0.2">
      <c r="A43" s="17"/>
      <c r="B43" s="2"/>
      <c r="C43" s="2"/>
      <c r="D43" s="6"/>
      <c r="E43" s="6"/>
      <c r="F43" s="7"/>
      <c r="G43" s="7"/>
      <c r="H43" s="9"/>
      <c r="I43" s="1" t="s">
        <v>1</v>
      </c>
      <c r="J43" s="2"/>
      <c r="K43" s="2"/>
      <c r="L43" s="6"/>
      <c r="M43" s="6"/>
      <c r="N43" s="6">
        <v>20</v>
      </c>
      <c r="O43" s="6"/>
      <c r="P43" s="17"/>
    </row>
    <row r="44" spans="1:17" ht="16" customHeight="1" x14ac:dyDescent="0.2">
      <c r="I44" s="1"/>
      <c r="J44" s="2"/>
      <c r="K44" s="2"/>
      <c r="L44" s="6"/>
      <c r="M44" s="6"/>
      <c r="N44" s="7"/>
      <c r="O44" s="7"/>
      <c r="P44" s="17"/>
    </row>
    <row r="45" spans="1:17" ht="16" customHeight="1" x14ac:dyDescent="0.2">
      <c r="C45" s="2"/>
      <c r="D45" s="2"/>
      <c r="E45" s="2" t="s">
        <v>45</v>
      </c>
      <c r="F45" s="3" t="s">
        <v>47</v>
      </c>
      <c r="G45" s="3"/>
      <c r="H45" s="17"/>
      <c r="I45" s="1"/>
      <c r="J45" s="2"/>
      <c r="K45" s="2"/>
      <c r="L45" s="2"/>
      <c r="M45" s="2" t="s">
        <v>45</v>
      </c>
      <c r="N45" s="3" t="s">
        <v>47</v>
      </c>
      <c r="O45" s="3"/>
      <c r="P45" s="4"/>
    </row>
    <row r="46" spans="1:17" ht="16" customHeight="1" x14ac:dyDescent="0.2">
      <c r="C46" s="2"/>
      <c r="D46" s="2"/>
      <c r="E46" s="2" t="s">
        <v>46</v>
      </c>
      <c r="F46" s="5" t="s">
        <v>48</v>
      </c>
      <c r="G46" s="5"/>
      <c r="H46" s="2"/>
      <c r="I46" s="1"/>
      <c r="J46" s="2"/>
      <c r="K46" s="2"/>
      <c r="L46" s="2"/>
      <c r="M46" s="2" t="s">
        <v>46</v>
      </c>
      <c r="N46" s="5" t="s">
        <v>48</v>
      </c>
      <c r="O46" s="5"/>
      <c r="P46" s="4"/>
      <c r="Q46" s="4"/>
    </row>
    <row r="47" spans="1:17" ht="16" customHeight="1" x14ac:dyDescent="0.2">
      <c r="I47" s="8"/>
    </row>
    <row r="48" spans="1:17" ht="16" customHeight="1" x14ac:dyDescent="0.2">
      <c r="A48" s="15" t="s">
        <v>54</v>
      </c>
      <c r="I48" s="15" t="s">
        <v>55</v>
      </c>
    </row>
    <row r="49" spans="1:15" ht="16" customHeight="1" x14ac:dyDescent="0.2">
      <c r="H49" s="2"/>
      <c r="I49" s="1"/>
      <c r="J49" s="2"/>
      <c r="K49" s="2"/>
      <c r="L49" s="2"/>
      <c r="M49" s="2"/>
      <c r="N49" s="2"/>
      <c r="O49" s="2"/>
    </row>
    <row r="50" spans="1:15" ht="16" customHeight="1" x14ac:dyDescent="0.2">
      <c r="A50" s="16" t="s">
        <v>31</v>
      </c>
      <c r="B50" s="29" t="s">
        <v>0</v>
      </c>
      <c r="C50" s="30"/>
      <c r="D50" s="29" t="s">
        <v>32</v>
      </c>
      <c r="E50" s="30"/>
      <c r="F50" s="13" t="s">
        <v>33</v>
      </c>
      <c r="G50" s="14"/>
      <c r="H50" s="2"/>
      <c r="I50" s="16" t="s">
        <v>31</v>
      </c>
      <c r="J50" s="29" t="s">
        <v>0</v>
      </c>
      <c r="K50" s="29"/>
      <c r="L50" s="29" t="s">
        <v>32</v>
      </c>
      <c r="M50" s="30"/>
      <c r="N50" s="13" t="s">
        <v>33</v>
      </c>
      <c r="O50" s="14"/>
    </row>
    <row r="51" spans="1:15" ht="16" customHeight="1" x14ac:dyDescent="0.25">
      <c r="A51" s="17" t="s">
        <v>30</v>
      </c>
      <c r="B51" s="2"/>
      <c r="C51" s="2"/>
      <c r="D51" s="7"/>
      <c r="E51" s="7"/>
      <c r="F51" s="6">
        <f>F57-SUM(F52:F56)</f>
        <v>35.25</v>
      </c>
      <c r="G51" s="6">
        <f>F51*G$50</f>
        <v>0</v>
      </c>
      <c r="H51" s="9"/>
      <c r="I51" s="17" t="s">
        <v>30</v>
      </c>
      <c r="J51" s="2"/>
      <c r="K51" s="2"/>
      <c r="L51" s="7"/>
      <c r="M51" s="7"/>
      <c r="N51" s="6">
        <f>N57-SUM(N52:N56)</f>
        <v>35.25</v>
      </c>
      <c r="O51" s="6">
        <f>N51*O$50</f>
        <v>0</v>
      </c>
    </row>
    <row r="52" spans="1:15" ht="16" customHeight="1" x14ac:dyDescent="0.2">
      <c r="A52" s="17" t="s">
        <v>2</v>
      </c>
      <c r="B52" s="2">
        <v>10</v>
      </c>
      <c r="C52" s="1" t="s">
        <v>3</v>
      </c>
      <c r="D52" s="10">
        <v>0.25</v>
      </c>
      <c r="E52" s="1" t="s">
        <v>3</v>
      </c>
      <c r="F52" s="6">
        <f>D52*F$57/B52</f>
        <v>1.25</v>
      </c>
      <c r="G52" s="6">
        <f>F52*G$50</f>
        <v>0</v>
      </c>
      <c r="H52" s="9"/>
      <c r="I52" s="17" t="s">
        <v>2</v>
      </c>
      <c r="J52" s="2">
        <v>10</v>
      </c>
      <c r="K52" s="1" t="s">
        <v>3</v>
      </c>
      <c r="L52" s="10">
        <v>0.25</v>
      </c>
      <c r="M52" s="1" t="s">
        <v>3</v>
      </c>
      <c r="N52" s="6">
        <f>L52*N$57/J52</f>
        <v>1.25</v>
      </c>
      <c r="O52" s="6">
        <f t="shared" ref="O52:O55" si="4">N52*O$50</f>
        <v>0</v>
      </c>
    </row>
    <row r="53" spans="1:15" ht="16" customHeight="1" x14ac:dyDescent="0.2">
      <c r="A53" s="17" t="s">
        <v>13</v>
      </c>
      <c r="B53" s="2">
        <v>10</v>
      </c>
      <c r="C53" s="1" t="s">
        <v>6</v>
      </c>
      <c r="D53" s="7">
        <v>1</v>
      </c>
      <c r="E53" s="1" t="s">
        <v>6</v>
      </c>
      <c r="F53" s="6">
        <f>D53*F$57/B53</f>
        <v>5</v>
      </c>
      <c r="G53" s="6">
        <f>F53*G$50</f>
        <v>0</v>
      </c>
      <c r="H53" s="9"/>
      <c r="I53" s="17" t="s">
        <v>13</v>
      </c>
      <c r="J53" s="2">
        <v>10</v>
      </c>
      <c r="K53" s="1" t="s">
        <v>6</v>
      </c>
      <c r="L53" s="7">
        <v>1</v>
      </c>
      <c r="M53" s="1" t="s">
        <v>6</v>
      </c>
      <c r="N53" s="6">
        <f>L53*N$57/J53</f>
        <v>5</v>
      </c>
      <c r="O53" s="6">
        <f t="shared" si="4"/>
        <v>0</v>
      </c>
    </row>
    <row r="54" spans="1:15" ht="16" customHeight="1" x14ac:dyDescent="0.2">
      <c r="A54" s="17" t="s">
        <v>14</v>
      </c>
      <c r="B54" s="2">
        <v>10</v>
      </c>
      <c r="C54" s="1" t="s">
        <v>34</v>
      </c>
      <c r="D54" s="7">
        <v>1</v>
      </c>
      <c r="E54" s="1" t="s">
        <v>34</v>
      </c>
      <c r="F54" s="6">
        <f>D54*F$57/B54</f>
        <v>5</v>
      </c>
      <c r="G54" s="6">
        <f>F54*G$50</f>
        <v>0</v>
      </c>
      <c r="H54" s="9"/>
      <c r="I54" s="17" t="s">
        <v>14</v>
      </c>
      <c r="J54" s="2">
        <v>10</v>
      </c>
      <c r="K54" s="1" t="s">
        <v>34</v>
      </c>
      <c r="L54" s="7">
        <v>1</v>
      </c>
      <c r="M54" s="1" t="s">
        <v>34</v>
      </c>
      <c r="N54" s="6">
        <f>L54*N$57/J54</f>
        <v>5</v>
      </c>
      <c r="O54" s="6">
        <f t="shared" si="4"/>
        <v>0</v>
      </c>
    </row>
    <row r="55" spans="1:15" ht="16" customHeight="1" x14ac:dyDescent="0.2">
      <c r="A55" s="17" t="s">
        <v>15</v>
      </c>
      <c r="B55" s="2">
        <v>5</v>
      </c>
      <c r="C55" s="1" t="s">
        <v>37</v>
      </c>
      <c r="D55" s="10">
        <v>0.05</v>
      </c>
      <c r="E55" s="1" t="s">
        <v>37</v>
      </c>
      <c r="F55" s="6">
        <f>D55*F$57/B55</f>
        <v>0.5</v>
      </c>
      <c r="G55" s="6">
        <f>F55*G$50</f>
        <v>0</v>
      </c>
      <c r="H55" s="9"/>
      <c r="I55" s="17" t="s">
        <v>15</v>
      </c>
      <c r="J55" s="2">
        <v>5</v>
      </c>
      <c r="K55" s="1" t="s">
        <v>37</v>
      </c>
      <c r="L55" s="10">
        <v>0.05</v>
      </c>
      <c r="M55" s="1" t="s">
        <v>37</v>
      </c>
      <c r="N55" s="6">
        <f>L55*N$57/J55</f>
        <v>0.5</v>
      </c>
      <c r="O55" s="6">
        <f t="shared" si="4"/>
        <v>0</v>
      </c>
    </row>
    <row r="56" spans="1:15" ht="16" customHeight="1" x14ac:dyDescent="0.2">
      <c r="A56" s="27" t="s">
        <v>16</v>
      </c>
      <c r="B56" s="13"/>
      <c r="C56" s="13"/>
      <c r="D56" s="24"/>
      <c r="E56" s="13"/>
      <c r="F56" s="22">
        <v>3</v>
      </c>
      <c r="G56" s="23" t="s">
        <v>36</v>
      </c>
      <c r="H56" s="9"/>
      <c r="I56" s="27" t="s">
        <v>16</v>
      </c>
      <c r="J56" s="13"/>
      <c r="K56" s="13"/>
      <c r="L56" s="24"/>
      <c r="M56" s="13"/>
      <c r="N56" s="22">
        <v>3</v>
      </c>
      <c r="O56" s="23" t="s">
        <v>36</v>
      </c>
    </row>
    <row r="57" spans="1:15" ht="16" customHeight="1" x14ac:dyDescent="0.2">
      <c r="A57" s="17" t="s">
        <v>1</v>
      </c>
      <c r="B57" s="2"/>
      <c r="C57" s="2"/>
      <c r="D57" s="6"/>
      <c r="E57" s="6"/>
      <c r="F57" s="6">
        <v>50</v>
      </c>
      <c r="G57" s="7">
        <f>SUM(G51:G56)</f>
        <v>0</v>
      </c>
      <c r="H57" s="9"/>
      <c r="I57" s="17" t="s">
        <v>1</v>
      </c>
      <c r="J57" s="2"/>
      <c r="K57" s="2"/>
      <c r="L57" s="6"/>
      <c r="M57" s="6"/>
      <c r="N57" s="6">
        <v>50</v>
      </c>
      <c r="O57" s="6">
        <f>SUM(O51:O56)</f>
        <v>0</v>
      </c>
    </row>
    <row r="59" spans="1:15" ht="16" customHeight="1" x14ac:dyDescent="0.2">
      <c r="C59" s="2"/>
      <c r="D59" s="13"/>
      <c r="E59" s="13" t="s">
        <v>42</v>
      </c>
      <c r="F59" s="28" t="s">
        <v>49</v>
      </c>
      <c r="G59" s="5"/>
      <c r="K59" s="2"/>
      <c r="L59" s="13"/>
      <c r="M59" s="13" t="s">
        <v>42</v>
      </c>
      <c r="N59" s="28" t="s">
        <v>49</v>
      </c>
      <c r="O59" s="5"/>
    </row>
    <row r="60" spans="1:15" ht="16" customHeight="1" x14ac:dyDescent="0.2">
      <c r="C60" s="2"/>
      <c r="D60" s="2" t="s">
        <v>12</v>
      </c>
      <c r="E60" s="2" t="s">
        <v>42</v>
      </c>
      <c r="F60" s="5" t="s">
        <v>40</v>
      </c>
      <c r="G60" s="5"/>
      <c r="K60" s="2"/>
      <c r="L60" s="2" t="s">
        <v>12</v>
      </c>
      <c r="M60" s="2" t="s">
        <v>42</v>
      </c>
      <c r="N60" s="5" t="s">
        <v>40</v>
      </c>
      <c r="O60" s="5"/>
    </row>
    <row r="61" spans="1:15" ht="16" customHeight="1" x14ac:dyDescent="0.2">
      <c r="D61" s="9"/>
      <c r="E61" s="2" t="s">
        <v>51</v>
      </c>
      <c r="F61" s="5" t="s">
        <v>40</v>
      </c>
      <c r="G61" s="5"/>
      <c r="L61" s="9"/>
      <c r="M61" s="2" t="s">
        <v>51</v>
      </c>
      <c r="N61" s="5" t="s">
        <v>40</v>
      </c>
      <c r="O61" s="5"/>
    </row>
    <row r="62" spans="1:15" ht="16" customHeight="1" x14ac:dyDescent="0.2">
      <c r="D62" s="2"/>
      <c r="E62" s="2" t="s">
        <v>52</v>
      </c>
      <c r="F62" s="5" t="s">
        <v>40</v>
      </c>
      <c r="G62" s="5"/>
      <c r="L62" s="2"/>
      <c r="M62" s="2" t="s">
        <v>52</v>
      </c>
      <c r="N62" s="5" t="s">
        <v>40</v>
      </c>
      <c r="O62" s="5"/>
    </row>
    <row r="63" spans="1:15" ht="16" customHeight="1" x14ac:dyDescent="0.2">
      <c r="D63" s="13"/>
      <c r="E63" s="13" t="s">
        <v>53</v>
      </c>
      <c r="F63" s="28" t="s">
        <v>50</v>
      </c>
      <c r="G63" s="5"/>
      <c r="L63" s="13"/>
      <c r="M63" s="13" t="s">
        <v>53</v>
      </c>
      <c r="N63" s="28" t="s">
        <v>50</v>
      </c>
      <c r="O63" s="5"/>
    </row>
    <row r="64" spans="1:15" ht="16" customHeight="1" x14ac:dyDescent="0.2">
      <c r="D64" s="2"/>
      <c r="E64" s="2" t="s">
        <v>53</v>
      </c>
      <c r="F64" s="5" t="s">
        <v>35</v>
      </c>
      <c r="G64" s="5"/>
      <c r="L64" s="2"/>
      <c r="M64" s="2" t="s">
        <v>53</v>
      </c>
      <c r="N64" s="5" t="s">
        <v>35</v>
      </c>
      <c r="O64" s="5"/>
    </row>
    <row r="65" spans="4:15" ht="16" customHeight="1" x14ac:dyDescent="0.2">
      <c r="D65" s="2"/>
      <c r="E65" s="2" t="s">
        <v>41</v>
      </c>
      <c r="F65" s="2" t="s">
        <v>9</v>
      </c>
      <c r="G65" s="2"/>
      <c r="L65" s="2"/>
      <c r="M65" s="2" t="s">
        <v>41</v>
      </c>
      <c r="N65" s="2" t="s">
        <v>9</v>
      </c>
      <c r="O65" s="2"/>
    </row>
  </sheetData>
  <mergeCells count="14">
    <mergeCell ref="L26:M26"/>
    <mergeCell ref="B3:C3"/>
    <mergeCell ref="D3:E3"/>
    <mergeCell ref="B11:C11"/>
    <mergeCell ref="D11:E11"/>
    <mergeCell ref="J26:K26"/>
    <mergeCell ref="B37:C37"/>
    <mergeCell ref="D37:E37"/>
    <mergeCell ref="J37:K37"/>
    <mergeCell ref="L37:M37"/>
    <mergeCell ref="B50:C50"/>
    <mergeCell ref="D50:E50"/>
    <mergeCell ref="J50:K50"/>
    <mergeCell ref="L50:M50"/>
  </mergeCells>
  <phoneticPr fontId="3" type="noConversion"/>
  <pageMargins left="0.75" right="0.75" top="1" bottom="1" header="0.5" footer="0.5"/>
  <pageSetup paperSize="9" scale="40" orientation="portrait" horizontalDpi="4294967292" verticalDpi="429496729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split</vt:lpstr>
    </vt:vector>
  </TitlesOfParts>
  <Company>Institute of Medical Virology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Dagmara Lewandowska</dc:creator>
  <cp:lastModifiedBy>ssc</cp:lastModifiedBy>
  <cp:lastPrinted>2016-12-14T14:42:58Z</cp:lastPrinted>
  <dcterms:created xsi:type="dcterms:W3CDTF">2015-04-10T11:22:29Z</dcterms:created>
  <dcterms:modified xsi:type="dcterms:W3CDTF">2017-12-22T14:53:59Z</dcterms:modified>
</cp:coreProperties>
</file>