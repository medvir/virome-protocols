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209"/>
  <workbookPr showInkAnnotation="0" autoCompressPictures="0"/>
  <mc:AlternateContent xmlns:mc="http://schemas.openxmlformats.org/markup-compatibility/2006">
    <mc:Choice Requires="x15">
      <x15ac:absPath xmlns:x15ac="http://schemas.microsoft.com/office/spreadsheetml/2010/11/ac" url="/Users/schmutz.stefan/Dropbox/GitHub/virome-protocols/"/>
    </mc:Choice>
  </mc:AlternateContent>
  <bookViews>
    <workbookView xWindow="1360" yWindow="460" windowWidth="37040" windowHeight="23540" tabRatio="500"/>
  </bookViews>
  <sheets>
    <sheet name="SSIV_standard" sheetId="3" r:id="rId1"/>
  </sheets>
  <definedNames>
    <definedName name="_xlnm.Print_Area" localSheetId="0">SSIV_standard!$A$3:$H$47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26" i="3" l="1"/>
  <c r="N27" i="3"/>
  <c r="O27" i="3"/>
  <c r="N39" i="3"/>
  <c r="N40" i="3"/>
  <c r="N28" i="3"/>
  <c r="N38" i="3"/>
  <c r="O38" i="3"/>
  <c r="O39" i="3"/>
  <c r="O40" i="3"/>
  <c r="O41" i="3"/>
  <c r="N41" i="3"/>
  <c r="O26" i="3"/>
  <c r="O28" i="3"/>
  <c r="O30" i="3"/>
  <c r="F20" i="3"/>
  <c r="F5" i="3"/>
  <c r="F15" i="3"/>
  <c r="G15" i="3"/>
  <c r="F16" i="3"/>
  <c r="G16" i="3"/>
  <c r="F17" i="3"/>
  <c r="G17" i="3"/>
  <c r="F18" i="3"/>
  <c r="G18" i="3"/>
  <c r="G19" i="3"/>
  <c r="F6" i="3"/>
  <c r="F4" i="3"/>
  <c r="G4" i="3"/>
  <c r="G5" i="3"/>
  <c r="G6" i="3"/>
  <c r="G8" i="3"/>
  <c r="F40" i="3"/>
  <c r="F28" i="3"/>
  <c r="F29" i="3"/>
  <c r="F42" i="3"/>
  <c r="G39" i="3"/>
  <c r="G40" i="3"/>
  <c r="F38" i="3"/>
  <c r="G38" i="3"/>
</calcChain>
</file>

<file path=xl/sharedStrings.xml><?xml version="1.0" encoding="utf-8"?>
<sst xmlns="http://schemas.openxmlformats.org/spreadsheetml/2006/main" count="120" uniqueCount="44">
  <si>
    <t>stock</t>
  </si>
  <si>
    <t>final</t>
    <phoneticPr fontId="0" type="noConversion"/>
  </si>
  <si>
    <t>Total</t>
  </si>
  <si>
    <t>dNTP</t>
  </si>
  <si>
    <t>mM</t>
  </si>
  <si>
    <t>x</t>
    <phoneticPr fontId="0" type="noConversion"/>
  </si>
  <si>
    <t>DTT</t>
  </si>
  <si>
    <t>hold</t>
  </si>
  <si>
    <t>Klenov Fragment</t>
  </si>
  <si>
    <t>eluate</t>
  </si>
  <si>
    <t>NEB buffer 2</t>
  </si>
  <si>
    <t>Subtotal</t>
  </si>
  <si>
    <t>x</t>
  </si>
  <si>
    <t>U</t>
  </si>
  <si>
    <t>65°C</t>
  </si>
  <si>
    <t>primer 6N</t>
  </si>
  <si>
    <t>4°C</t>
  </si>
  <si>
    <t>RNaseOut</t>
  </si>
  <si>
    <t>50°C</t>
  </si>
  <si>
    <t>Rnase H</t>
  </si>
  <si>
    <t>37°C</t>
  </si>
  <si>
    <t>SuperScript IV RT</t>
  </si>
  <si>
    <t>23°C</t>
  </si>
  <si>
    <t>80°C</t>
  </si>
  <si>
    <t>reagent</t>
  </si>
  <si>
    <t>µL</t>
  </si>
  <si>
    <r>
      <t>H</t>
    </r>
    <r>
      <rPr>
        <vertAlign val="subscript"/>
        <sz val="12"/>
        <rFont val="Arial"/>
      </rPr>
      <t>2</t>
    </r>
    <r>
      <rPr>
        <sz val="12"/>
        <rFont val="Arial"/>
      </rPr>
      <t>O</t>
    </r>
  </si>
  <si>
    <t>µM</t>
  </si>
  <si>
    <t>U/µL</t>
  </si>
  <si>
    <t>5 min</t>
  </si>
  <si>
    <t>1 min</t>
  </si>
  <si>
    <t>10 min</t>
  </si>
  <si>
    <t>20 min</t>
  </si>
  <si>
    <t>2 min</t>
  </si>
  <si>
    <t>94°C</t>
  </si>
  <si>
    <t>75°C</t>
  </si>
  <si>
    <t>30 min</t>
  </si>
  <si>
    <t>SuperScript IV Buffer</t>
  </si>
  <si>
    <t>-</t>
  </si>
  <si>
    <t>DNA</t>
  </si>
  <si>
    <t>RNA</t>
  </si>
  <si>
    <t>2nd strand synthesis DNA</t>
  </si>
  <si>
    <t xml:space="preserve">NEB buffer 2 </t>
  </si>
  <si>
    <t>2nd strand synthesis RNA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</si>
</sst>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7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2"/>
      <name val="Arial"/>
    </font>
    <font>
      <vertAlign val="subscript"/>
      <sz val="12"/>
      <name val="Arial"/>
    </font>
    <font>
      <b/>
      <sz val="12"/>
      <name val="Arial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5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32">
    <xf numFmtId="0" fontId="0" fillId="0" borderId="0" xfId="0"/>
    <xf numFmtId="49" fontId="4" fillId="0" borderId="0" xfId="0" applyNumberFormat="1" applyFont="1" applyFill="1" applyBorder="1" applyAlignment="1">
      <alignment horizontal="right"/>
    </xf>
    <xf numFmtId="0" fontId="4" fillId="0" borderId="0" xfId="0" applyFont="1" applyFill="1" applyBorder="1" applyAlignment="1">
      <alignment horizontal="right"/>
    </xf>
    <xf numFmtId="1" fontId="4" fillId="0" borderId="0" xfId="0" applyNumberFormat="1" applyFont="1" applyFill="1" applyBorder="1" applyAlignment="1">
      <alignment horizontal="right"/>
    </xf>
    <xf numFmtId="164" fontId="4" fillId="0" borderId="0" xfId="0" applyNumberFormat="1" applyFont="1" applyFill="1" applyBorder="1" applyAlignment="1">
      <alignment horizontal="right"/>
    </xf>
    <xf numFmtId="0" fontId="4" fillId="0" borderId="0" xfId="0" applyFont="1" applyFill="1" applyBorder="1" applyAlignment="1">
      <alignment horizontal="left"/>
    </xf>
    <xf numFmtId="0" fontId="4" fillId="0" borderId="1" xfId="0" applyFont="1" applyFill="1" applyBorder="1" applyAlignment="1">
      <alignment horizontal="right"/>
    </xf>
    <xf numFmtId="164" fontId="4" fillId="0" borderId="1" xfId="0" applyNumberFormat="1" applyFont="1" applyFill="1" applyBorder="1" applyAlignment="1">
      <alignment horizontal="right"/>
    </xf>
    <xf numFmtId="1" fontId="4" fillId="0" borderId="0" xfId="0" applyNumberFormat="1" applyFont="1" applyFill="1" applyBorder="1" applyAlignment="1">
      <alignment horizontal="left"/>
    </xf>
    <xf numFmtId="1" fontId="4" fillId="0" borderId="1" xfId="0" applyNumberFormat="1" applyFont="1" applyFill="1" applyBorder="1" applyAlignment="1">
      <alignment horizontal="right"/>
    </xf>
    <xf numFmtId="20" fontId="4" fillId="0" borderId="0" xfId="0" applyNumberFormat="1" applyFont="1" applyFill="1" applyBorder="1" applyAlignment="1">
      <alignment horizontal="right"/>
    </xf>
    <xf numFmtId="0" fontId="4" fillId="0" borderId="0" xfId="0" applyFont="1" applyFill="1" applyBorder="1" applyAlignment="1"/>
    <xf numFmtId="0" fontId="4" fillId="0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right"/>
    </xf>
    <xf numFmtId="49" fontId="4" fillId="0" borderId="2" xfId="0" applyNumberFormat="1" applyFont="1" applyFill="1" applyBorder="1" applyAlignment="1">
      <alignment horizontal="left"/>
    </xf>
    <xf numFmtId="0" fontId="4" fillId="0" borderId="2" xfId="0" applyFont="1" applyFill="1" applyBorder="1" applyAlignment="1">
      <alignment horizontal="left"/>
    </xf>
    <xf numFmtId="1" fontId="4" fillId="0" borderId="2" xfId="0" applyNumberFormat="1" applyFont="1" applyFill="1" applyBorder="1" applyAlignment="1">
      <alignment horizontal="right"/>
    </xf>
    <xf numFmtId="164" fontId="4" fillId="0" borderId="2" xfId="0" applyNumberFormat="1" applyFont="1" applyFill="1" applyBorder="1" applyAlignment="1">
      <alignment horizontal="right"/>
    </xf>
    <xf numFmtId="49" fontId="4" fillId="0" borderId="2" xfId="0" applyNumberFormat="1" applyFont="1" applyFill="1" applyBorder="1" applyAlignment="1"/>
    <xf numFmtId="0" fontId="4" fillId="0" borderId="2" xfId="0" applyFont="1" applyFill="1" applyBorder="1" applyAlignment="1"/>
    <xf numFmtId="0" fontId="4" fillId="0" borderId="1" xfId="0" applyFont="1" applyFill="1" applyBorder="1" applyAlignment="1"/>
    <xf numFmtId="0" fontId="4" fillId="0" borderId="1" xfId="0" applyFont="1" applyFill="1" applyBorder="1" applyAlignment="1">
      <alignment horizontal="left"/>
    </xf>
    <xf numFmtId="1" fontId="4" fillId="0" borderId="1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 applyAlignment="1"/>
    <xf numFmtId="164" fontId="4" fillId="0" borderId="2" xfId="0" quotePrefix="1" applyNumberFormat="1" applyFont="1" applyFill="1" applyBorder="1" applyAlignment="1">
      <alignment horizontal="right"/>
    </xf>
    <xf numFmtId="0" fontId="6" fillId="0" borderId="0" xfId="0" applyFont="1" applyFill="1" applyAlignment="1">
      <alignment horizontal="left"/>
    </xf>
    <xf numFmtId="0" fontId="4" fillId="0" borderId="0" xfId="0" applyFont="1" applyFill="1" applyAlignment="1">
      <alignment horizontal="right"/>
    </xf>
    <xf numFmtId="0" fontId="4" fillId="0" borderId="0" xfId="0" applyFont="1" applyFill="1" applyAlignment="1">
      <alignment horizontal="left"/>
    </xf>
    <xf numFmtId="2" fontId="4" fillId="0" borderId="0" xfId="0" applyNumberFormat="1" applyFont="1" applyFill="1" applyBorder="1" applyAlignment="1">
      <alignment horizontal="right"/>
    </xf>
    <xf numFmtId="49" fontId="4" fillId="0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/>
    </xf>
  </cellXfs>
  <cellStyles count="5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2</xdr:row>
      <xdr:rowOff>0</xdr:rowOff>
    </xdr:from>
    <xdr:to>
      <xdr:col>14</xdr:col>
      <xdr:colOff>749300</xdr:colOff>
      <xdr:row>6</xdr:row>
      <xdr:rowOff>0</xdr:rowOff>
    </xdr:to>
    <xdr:sp macro="" textlink="">
      <xdr:nvSpPr>
        <xdr:cNvPr id="3" name="TextBox 2"/>
        <xdr:cNvSpPr txBox="1"/>
      </xdr:nvSpPr>
      <xdr:spPr>
        <a:xfrm>
          <a:off x="5448300" y="406400"/>
          <a:ext cx="4660900" cy="812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charset="0"/>
              <a:ea typeface="Arial" charset="0"/>
              <a:cs typeface="Arial" charset="0"/>
            </a:rPr>
            <a:t>How to use:</a:t>
          </a:r>
        </a:p>
        <a:p>
          <a:r>
            <a:rPr lang="en-US" sz="1100">
              <a:latin typeface="Arial" charset="0"/>
              <a:ea typeface="Arial" charset="0"/>
              <a:cs typeface="Arial" charset="0"/>
            </a:rPr>
            <a:t>- insert</a:t>
          </a:r>
          <a:r>
            <a:rPr lang="en-US" sz="1100" baseline="0">
              <a:latin typeface="Arial" charset="0"/>
              <a:ea typeface="Arial" charset="0"/>
              <a:cs typeface="Arial" charset="0"/>
            </a:rPr>
            <a:t> amount of reactions in green fields</a:t>
          </a:r>
        </a:p>
        <a:p>
          <a:r>
            <a:rPr lang="en-US" sz="1100" baseline="0">
              <a:latin typeface="Arial" charset="0"/>
              <a:ea typeface="Arial" charset="0"/>
              <a:cs typeface="Arial" charset="0"/>
            </a:rPr>
            <a:t>- all volumes are then calculated in µL</a:t>
          </a:r>
        </a:p>
        <a:p>
          <a:r>
            <a:rPr lang="en-US" sz="1100" baseline="0">
              <a:latin typeface="Arial" charset="0"/>
              <a:ea typeface="Arial" charset="0"/>
              <a:cs typeface="Arial" charset="0"/>
            </a:rPr>
            <a:t>- find detailed info about the procedure in README.md</a:t>
          </a:r>
          <a:endParaRPr lang="en-US" sz="1100">
            <a:latin typeface="Arial" charset="0"/>
            <a:ea typeface="Arial" charset="0"/>
            <a:cs typeface="Arial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6"/>
  <sheetViews>
    <sheetView tabSelected="1" workbookViewId="0"/>
  </sheetViews>
  <sheetFormatPr baseColWidth="10" defaultRowHeight="16" customHeight="1" x14ac:dyDescent="0.2"/>
  <cols>
    <col min="1" max="1" width="19.6640625" style="2" customWidth="1"/>
    <col min="2" max="7" width="6.83203125" style="2" customWidth="1"/>
    <col min="8" max="8" width="10.83203125" style="2"/>
    <col min="9" max="9" width="17.1640625" style="11" customWidth="1"/>
    <col min="10" max="14" width="6.83203125" style="11" customWidth="1"/>
    <col min="15" max="16384" width="10.83203125" style="11"/>
  </cols>
  <sheetData>
    <row r="1" spans="1:7" ht="16" customHeight="1" x14ac:dyDescent="0.2">
      <c r="A1" s="23" t="s">
        <v>40</v>
      </c>
    </row>
    <row r="2" spans="1:7" ht="16" customHeight="1" x14ac:dyDescent="0.2">
      <c r="A2" s="5"/>
    </row>
    <row r="3" spans="1:7" ht="16" customHeight="1" x14ac:dyDescent="0.2">
      <c r="A3" s="14" t="s">
        <v>24</v>
      </c>
      <c r="B3" s="30" t="s">
        <v>0</v>
      </c>
      <c r="C3" s="31"/>
      <c r="D3" s="30" t="s">
        <v>1</v>
      </c>
      <c r="E3" s="31"/>
      <c r="F3" s="12" t="s">
        <v>25</v>
      </c>
      <c r="G3" s="13"/>
    </row>
    <row r="4" spans="1:7" ht="16" customHeight="1" x14ac:dyDescent="0.25">
      <c r="A4" s="5" t="s">
        <v>26</v>
      </c>
      <c r="D4" s="3"/>
      <c r="E4" s="3"/>
      <c r="F4" s="4">
        <f>F8-SUM(F5:F7)</f>
        <v>6.5</v>
      </c>
      <c r="G4" s="4">
        <f>F4*G$3</f>
        <v>0</v>
      </c>
    </row>
    <row r="5" spans="1:7" ht="16" customHeight="1" x14ac:dyDescent="0.2">
      <c r="A5" s="5" t="s">
        <v>3</v>
      </c>
      <c r="B5" s="2">
        <v>10</v>
      </c>
      <c r="C5" s="5" t="s">
        <v>4</v>
      </c>
      <c r="D5" s="4">
        <v>0.5</v>
      </c>
      <c r="E5" s="5" t="s">
        <v>4</v>
      </c>
      <c r="F5" s="4">
        <f>D5*F$20/B5</f>
        <v>1</v>
      </c>
      <c r="G5" s="4">
        <f>F5*G$3</f>
        <v>0</v>
      </c>
    </row>
    <row r="6" spans="1:7" ht="16" customHeight="1" x14ac:dyDescent="0.2">
      <c r="A6" s="5" t="s">
        <v>15</v>
      </c>
      <c r="B6" s="2">
        <v>100</v>
      </c>
      <c r="C6" s="5" t="s">
        <v>27</v>
      </c>
      <c r="D6" s="4">
        <v>2.5</v>
      </c>
      <c r="E6" s="5" t="s">
        <v>27</v>
      </c>
      <c r="F6" s="4">
        <f>D6*F$20/B6</f>
        <v>0.5</v>
      </c>
      <c r="G6" s="4">
        <f>F6*G$3</f>
        <v>0</v>
      </c>
    </row>
    <row r="7" spans="1:7" ht="16" customHeight="1" x14ac:dyDescent="0.2">
      <c r="A7" s="15" t="s">
        <v>9</v>
      </c>
      <c r="B7" s="12"/>
      <c r="C7" s="12"/>
      <c r="D7" s="16"/>
      <c r="E7" s="12"/>
      <c r="F7" s="17">
        <v>5</v>
      </c>
      <c r="G7" s="25" t="s">
        <v>38</v>
      </c>
    </row>
    <row r="8" spans="1:7" ht="16" customHeight="1" x14ac:dyDescent="0.2">
      <c r="A8" s="5" t="s">
        <v>11</v>
      </c>
      <c r="D8" s="4"/>
      <c r="E8" s="4"/>
      <c r="F8" s="4">
        <v>13</v>
      </c>
      <c r="G8" s="3">
        <f>SUM(G4:G7)</f>
        <v>0</v>
      </c>
    </row>
    <row r="9" spans="1:7" ht="16" customHeight="1" x14ac:dyDescent="0.2">
      <c r="D9" s="4"/>
      <c r="E9" s="4"/>
      <c r="F9" s="3"/>
      <c r="G9" s="3"/>
    </row>
    <row r="10" spans="1:7" ht="16" customHeight="1" x14ac:dyDescent="0.2">
      <c r="E10" s="2" t="s">
        <v>14</v>
      </c>
      <c r="F10" s="10" t="s">
        <v>29</v>
      </c>
    </row>
    <row r="11" spans="1:7" ht="16" customHeight="1" x14ac:dyDescent="0.2">
      <c r="E11" s="2" t="s">
        <v>16</v>
      </c>
      <c r="F11" s="10" t="s">
        <v>30</v>
      </c>
    </row>
    <row r="12" spans="1:7" ht="16" customHeight="1" x14ac:dyDescent="0.2">
      <c r="E12" s="2" t="s">
        <v>16</v>
      </c>
      <c r="F12" s="10" t="s">
        <v>7</v>
      </c>
    </row>
    <row r="14" spans="1:7" x14ac:dyDescent="0.2">
      <c r="A14" s="18" t="s">
        <v>24</v>
      </c>
      <c r="B14" s="30" t="s">
        <v>0</v>
      </c>
      <c r="C14" s="31"/>
      <c r="D14" s="30" t="s">
        <v>1</v>
      </c>
      <c r="E14" s="31"/>
      <c r="F14" s="12" t="s">
        <v>25</v>
      </c>
      <c r="G14" s="13"/>
    </row>
    <row r="15" spans="1:7" ht="16" customHeight="1" x14ac:dyDescent="0.2">
      <c r="A15" s="11" t="s">
        <v>37</v>
      </c>
      <c r="B15" s="2">
        <v>5</v>
      </c>
      <c r="C15" s="5" t="s">
        <v>5</v>
      </c>
      <c r="D15" s="3">
        <v>1</v>
      </c>
      <c r="E15" s="8" t="s">
        <v>5</v>
      </c>
      <c r="F15" s="4">
        <f>D15*F$20/B15</f>
        <v>4</v>
      </c>
      <c r="G15" s="4">
        <f>F15*G$14</f>
        <v>0</v>
      </c>
    </row>
    <row r="16" spans="1:7" ht="16" customHeight="1" x14ac:dyDescent="0.2">
      <c r="A16" s="11" t="s">
        <v>6</v>
      </c>
      <c r="B16" s="2">
        <v>100</v>
      </c>
      <c r="C16" s="5" t="s">
        <v>4</v>
      </c>
      <c r="D16" s="3">
        <v>5</v>
      </c>
      <c r="E16" s="5" t="s">
        <v>4</v>
      </c>
      <c r="F16" s="4">
        <f>D16*F$20/B16</f>
        <v>1</v>
      </c>
      <c r="G16" s="4">
        <f>F16*G$14</f>
        <v>0</v>
      </c>
    </row>
    <row r="17" spans="1:15" ht="16" customHeight="1" x14ac:dyDescent="0.2">
      <c r="A17" s="11" t="s">
        <v>17</v>
      </c>
      <c r="B17" s="2">
        <v>40</v>
      </c>
      <c r="C17" s="5" t="s">
        <v>28</v>
      </c>
      <c r="D17" s="3">
        <v>2</v>
      </c>
      <c r="E17" s="8" t="s">
        <v>28</v>
      </c>
      <c r="F17" s="4">
        <f>D17*F$20/B17</f>
        <v>1</v>
      </c>
      <c r="G17" s="4">
        <f>F17*G$14</f>
        <v>0</v>
      </c>
    </row>
    <row r="18" spans="1:15" ht="16" customHeight="1" x14ac:dyDescent="0.2">
      <c r="A18" s="19" t="s">
        <v>21</v>
      </c>
      <c r="B18" s="12">
        <v>200</v>
      </c>
      <c r="C18" s="15" t="s">
        <v>28</v>
      </c>
      <c r="D18" s="16">
        <v>10</v>
      </c>
      <c r="E18" s="15" t="s">
        <v>28</v>
      </c>
      <c r="F18" s="17">
        <f>D18*F$20/B18</f>
        <v>1</v>
      </c>
      <c r="G18" s="17">
        <f>F18*G$14</f>
        <v>0</v>
      </c>
    </row>
    <row r="19" spans="1:15" ht="16" customHeight="1" x14ac:dyDescent="0.2">
      <c r="A19" s="11" t="s">
        <v>11</v>
      </c>
      <c r="D19" s="3"/>
      <c r="F19" s="4">
        <v>7</v>
      </c>
      <c r="G19" s="3">
        <f>SUM(G15:G18)</f>
        <v>0</v>
      </c>
    </row>
    <row r="20" spans="1:15" ht="16" customHeight="1" x14ac:dyDescent="0.2">
      <c r="A20" s="11" t="s">
        <v>2</v>
      </c>
      <c r="D20" s="4"/>
      <c r="E20" s="4"/>
      <c r="F20" s="4">
        <f>F19+F8</f>
        <v>20</v>
      </c>
      <c r="G20" s="3"/>
    </row>
    <row r="21" spans="1:15" ht="16" customHeight="1" x14ac:dyDescent="0.2">
      <c r="A21" s="11"/>
      <c r="D21" s="4"/>
      <c r="E21" s="4"/>
      <c r="F21" s="3"/>
      <c r="G21" s="3"/>
    </row>
    <row r="22" spans="1:15" ht="16" customHeight="1" x14ac:dyDescent="0.2">
      <c r="A22" s="11"/>
      <c r="B22" s="11"/>
      <c r="E22" s="2" t="s">
        <v>22</v>
      </c>
      <c r="F22" s="1" t="s">
        <v>31</v>
      </c>
      <c r="G22" s="1"/>
    </row>
    <row r="23" spans="1:15" ht="16" customHeight="1" x14ac:dyDescent="0.2">
      <c r="A23" s="11"/>
      <c r="B23" s="11"/>
      <c r="E23" s="2" t="s">
        <v>18</v>
      </c>
      <c r="F23" s="1" t="s">
        <v>31</v>
      </c>
      <c r="G23" s="1"/>
      <c r="I23" s="26" t="s">
        <v>39</v>
      </c>
      <c r="J23" s="27"/>
      <c r="K23" s="27"/>
      <c r="L23" s="27"/>
      <c r="M23" s="27"/>
      <c r="N23" s="27"/>
      <c r="O23" s="27"/>
    </row>
    <row r="24" spans="1:15" ht="16" customHeight="1" x14ac:dyDescent="0.2">
      <c r="A24" s="11"/>
      <c r="B24" s="11"/>
      <c r="C24" s="11"/>
      <c r="E24" s="2" t="s">
        <v>23</v>
      </c>
      <c r="F24" s="1" t="s">
        <v>31</v>
      </c>
      <c r="G24" s="1"/>
      <c r="I24" s="28"/>
      <c r="J24" s="27"/>
      <c r="K24" s="27"/>
      <c r="L24" s="27"/>
      <c r="M24" s="27"/>
      <c r="N24" s="27"/>
      <c r="O24" s="27"/>
    </row>
    <row r="25" spans="1:15" ht="16" customHeight="1" x14ac:dyDescent="0.2">
      <c r="A25" s="11"/>
      <c r="B25" s="11"/>
      <c r="C25" s="11"/>
      <c r="E25" s="2" t="s">
        <v>16</v>
      </c>
      <c r="F25" s="10" t="s">
        <v>7</v>
      </c>
      <c r="G25" s="10"/>
      <c r="I25" s="14" t="s">
        <v>24</v>
      </c>
      <c r="J25" s="30" t="s">
        <v>0</v>
      </c>
      <c r="K25" s="31"/>
      <c r="L25" s="30" t="s">
        <v>1</v>
      </c>
      <c r="M25" s="31"/>
      <c r="N25" s="12" t="s">
        <v>25</v>
      </c>
      <c r="O25" s="13"/>
    </row>
    <row r="26" spans="1:15" ht="16" customHeight="1" x14ac:dyDescent="0.25">
      <c r="A26" s="11"/>
      <c r="I26" s="5" t="s">
        <v>26</v>
      </c>
      <c r="J26" s="2"/>
      <c r="K26" s="2"/>
      <c r="L26" s="3"/>
      <c r="M26" s="3"/>
      <c r="N26" s="4">
        <f>N30-SUM(N27:N29)</f>
        <v>3.5</v>
      </c>
      <c r="O26" s="4">
        <f>N26*O$25</f>
        <v>0</v>
      </c>
    </row>
    <row r="27" spans="1:15" ht="16" customHeight="1" x14ac:dyDescent="0.2">
      <c r="A27" s="18" t="s">
        <v>24</v>
      </c>
      <c r="B27" s="30" t="s">
        <v>0</v>
      </c>
      <c r="C27" s="31"/>
      <c r="D27" s="30" t="s">
        <v>1</v>
      </c>
      <c r="E27" s="31"/>
      <c r="F27" s="12" t="s">
        <v>25</v>
      </c>
      <c r="I27" s="5" t="s">
        <v>3</v>
      </c>
      <c r="J27" s="2">
        <v>10</v>
      </c>
      <c r="K27" s="5" t="s">
        <v>4</v>
      </c>
      <c r="L27" s="4">
        <v>0.5</v>
      </c>
      <c r="M27" s="5" t="s">
        <v>4</v>
      </c>
      <c r="N27" s="4">
        <f>L27*N$42/J27</f>
        <v>1</v>
      </c>
      <c r="O27" s="4">
        <f>N27*O$25</f>
        <v>0</v>
      </c>
    </row>
    <row r="28" spans="1:15" ht="16" customHeight="1" x14ac:dyDescent="0.2">
      <c r="A28" s="20" t="s">
        <v>19</v>
      </c>
      <c r="B28" s="6">
        <v>5</v>
      </c>
      <c r="C28" s="21" t="s">
        <v>28</v>
      </c>
      <c r="D28" s="9">
        <v>2</v>
      </c>
      <c r="E28" s="22" t="s">
        <v>13</v>
      </c>
      <c r="F28" s="7">
        <f>D28/B28</f>
        <v>0.4</v>
      </c>
      <c r="G28" s="4"/>
      <c r="I28" s="5" t="s">
        <v>15</v>
      </c>
      <c r="J28" s="2">
        <v>100</v>
      </c>
      <c r="K28" s="5" t="s">
        <v>27</v>
      </c>
      <c r="L28" s="3">
        <v>2.5</v>
      </c>
      <c r="M28" s="5" t="s">
        <v>27</v>
      </c>
      <c r="N28" s="4">
        <f>L28*N$42/J28</f>
        <v>0.5</v>
      </c>
      <c r="O28" s="4">
        <f t="shared" ref="O28" si="0">N28*O$25</f>
        <v>0</v>
      </c>
    </row>
    <row r="29" spans="1:15" ht="16" customHeight="1" x14ac:dyDescent="0.2">
      <c r="A29" s="11" t="s">
        <v>2</v>
      </c>
      <c r="D29" s="4"/>
      <c r="E29" s="4"/>
      <c r="F29" s="4">
        <f>F20+F28</f>
        <v>20.399999999999999</v>
      </c>
      <c r="I29" s="15" t="s">
        <v>9</v>
      </c>
      <c r="J29" s="12"/>
      <c r="K29" s="12"/>
      <c r="L29" s="16"/>
      <c r="M29" s="12"/>
      <c r="N29" s="17">
        <v>5</v>
      </c>
      <c r="O29" s="17" t="s">
        <v>38</v>
      </c>
    </row>
    <row r="30" spans="1:15" ht="16" customHeight="1" x14ac:dyDescent="0.2">
      <c r="A30" s="11"/>
      <c r="I30" s="5" t="s">
        <v>11</v>
      </c>
      <c r="J30" s="2"/>
      <c r="K30" s="2"/>
      <c r="L30" s="4"/>
      <c r="M30" s="4"/>
      <c r="N30" s="4">
        <v>10</v>
      </c>
      <c r="O30" s="4">
        <f>SUM(O26:O29)</f>
        <v>0</v>
      </c>
    </row>
    <row r="31" spans="1:15" ht="16" customHeight="1" x14ac:dyDescent="0.2">
      <c r="A31" s="11"/>
      <c r="E31" s="2" t="s">
        <v>20</v>
      </c>
      <c r="F31" s="10" t="s">
        <v>32</v>
      </c>
      <c r="I31" s="5"/>
      <c r="J31" s="2"/>
      <c r="K31" s="2"/>
      <c r="L31" s="4"/>
      <c r="M31" s="4"/>
      <c r="N31" s="3"/>
      <c r="O31" s="3"/>
    </row>
    <row r="32" spans="1:15" ht="16" customHeight="1" x14ac:dyDescent="0.2">
      <c r="A32" s="11"/>
      <c r="C32" s="11"/>
      <c r="E32" s="2" t="s">
        <v>34</v>
      </c>
      <c r="F32" s="10" t="s">
        <v>33</v>
      </c>
      <c r="G32" s="10"/>
      <c r="I32" s="5"/>
      <c r="J32" s="2"/>
      <c r="K32" s="2"/>
      <c r="L32" s="2"/>
      <c r="M32" s="2" t="s">
        <v>34</v>
      </c>
      <c r="N32" s="10" t="s">
        <v>33</v>
      </c>
      <c r="O32" s="10"/>
    </row>
    <row r="33" spans="1:15" ht="16" customHeight="1" x14ac:dyDescent="0.2">
      <c r="A33" s="11"/>
      <c r="E33" s="2" t="s">
        <v>16</v>
      </c>
      <c r="F33" s="10" t="s">
        <v>7</v>
      </c>
      <c r="G33" s="10"/>
      <c r="I33" s="5"/>
      <c r="J33" s="2"/>
      <c r="K33" s="2"/>
      <c r="L33" s="2"/>
      <c r="M33" s="2" t="s">
        <v>16</v>
      </c>
      <c r="N33" s="10" t="s">
        <v>7</v>
      </c>
      <c r="O33" s="10"/>
    </row>
    <row r="34" spans="1:15" ht="16" customHeight="1" x14ac:dyDescent="0.2">
      <c r="A34" s="11"/>
      <c r="F34" s="10"/>
      <c r="G34" s="10"/>
      <c r="I34" s="2"/>
    </row>
    <row r="35" spans="1:15" ht="16" customHeight="1" x14ac:dyDescent="0.2">
      <c r="A35" s="24" t="s">
        <v>43</v>
      </c>
      <c r="F35" s="10"/>
      <c r="G35" s="10"/>
      <c r="I35" s="26" t="s">
        <v>41</v>
      </c>
      <c r="J35" s="27"/>
      <c r="K35" s="27"/>
      <c r="L35" s="27"/>
      <c r="M35" s="27"/>
      <c r="N35" s="27"/>
      <c r="O35" s="27"/>
    </row>
    <row r="36" spans="1:15" ht="16" customHeight="1" x14ac:dyDescent="0.2">
      <c r="A36" s="11"/>
      <c r="I36" s="28"/>
      <c r="J36" s="27"/>
      <c r="K36" s="27"/>
      <c r="L36" s="27"/>
      <c r="M36" s="27"/>
      <c r="N36" s="27"/>
      <c r="O36" s="27"/>
    </row>
    <row r="37" spans="1:15" ht="16" customHeight="1" x14ac:dyDescent="0.2">
      <c r="A37" s="18" t="s">
        <v>24</v>
      </c>
      <c r="B37" s="30" t="s">
        <v>0</v>
      </c>
      <c r="C37" s="31"/>
      <c r="D37" s="30" t="s">
        <v>1</v>
      </c>
      <c r="E37" s="31"/>
      <c r="F37" s="12" t="s">
        <v>25</v>
      </c>
      <c r="G37" s="13"/>
      <c r="I37" s="14" t="s">
        <v>24</v>
      </c>
      <c r="J37" s="30" t="s">
        <v>0</v>
      </c>
      <c r="K37" s="31"/>
      <c r="L37" s="30" t="s">
        <v>1</v>
      </c>
      <c r="M37" s="31"/>
      <c r="N37" s="12" t="s">
        <v>25</v>
      </c>
      <c r="O37" s="13"/>
    </row>
    <row r="38" spans="1:15" ht="16" customHeight="1" x14ac:dyDescent="0.25">
      <c r="A38" s="11" t="s">
        <v>26</v>
      </c>
      <c r="D38" s="3"/>
      <c r="E38" s="3"/>
      <c r="F38" s="4">
        <f>F41-SUM(F39:F40)</f>
        <v>6.8</v>
      </c>
      <c r="G38" s="4">
        <f>F38*G$37</f>
        <v>0</v>
      </c>
      <c r="I38" s="5" t="s">
        <v>26</v>
      </c>
      <c r="J38" s="2"/>
      <c r="K38" s="2"/>
      <c r="L38" s="29"/>
      <c r="M38" s="2"/>
      <c r="N38" s="4">
        <f>N42-SUM(N39:N40)-SUM(N26:N29)</f>
        <v>7</v>
      </c>
      <c r="O38" s="4">
        <f>N38*O$37</f>
        <v>0</v>
      </c>
    </row>
    <row r="39" spans="1:15" ht="16" customHeight="1" x14ac:dyDescent="0.2">
      <c r="A39" s="11" t="s">
        <v>10</v>
      </c>
      <c r="B39" s="2">
        <v>10</v>
      </c>
      <c r="C39" s="5" t="s">
        <v>12</v>
      </c>
      <c r="D39" s="3">
        <v>1</v>
      </c>
      <c r="E39" s="8" t="s">
        <v>12</v>
      </c>
      <c r="F39" s="4">
        <v>2.2000000000000002</v>
      </c>
      <c r="G39" s="4">
        <f t="shared" ref="G39:G40" si="1">F39*G$37</f>
        <v>0</v>
      </c>
      <c r="I39" s="5" t="s">
        <v>42</v>
      </c>
      <c r="J39" s="2">
        <v>10</v>
      </c>
      <c r="K39" s="5" t="s">
        <v>12</v>
      </c>
      <c r="L39" s="2">
        <v>1</v>
      </c>
      <c r="M39" s="5" t="s">
        <v>12</v>
      </c>
      <c r="N39" s="4">
        <f>L39*N42/J39</f>
        <v>2</v>
      </c>
      <c r="O39" s="4">
        <f>N39*O$37</f>
        <v>0</v>
      </c>
    </row>
    <row r="40" spans="1:15" ht="16" customHeight="1" x14ac:dyDescent="0.2">
      <c r="A40" s="19" t="s">
        <v>8</v>
      </c>
      <c r="B40" s="12">
        <v>5</v>
      </c>
      <c r="C40" s="15" t="s">
        <v>28</v>
      </c>
      <c r="D40" s="16">
        <v>5</v>
      </c>
      <c r="E40" s="15" t="s">
        <v>13</v>
      </c>
      <c r="F40" s="17">
        <f>D40/B40</f>
        <v>1</v>
      </c>
      <c r="G40" s="17">
        <f t="shared" si="1"/>
        <v>0</v>
      </c>
      <c r="I40" s="15" t="s">
        <v>8</v>
      </c>
      <c r="J40" s="12">
        <v>5</v>
      </c>
      <c r="K40" s="15" t="s">
        <v>28</v>
      </c>
      <c r="L40" s="16">
        <v>5</v>
      </c>
      <c r="M40" s="15" t="s">
        <v>13</v>
      </c>
      <c r="N40" s="17">
        <f>L40/J40</f>
        <v>1</v>
      </c>
      <c r="O40" s="17">
        <f>N40*O$37</f>
        <v>0</v>
      </c>
    </row>
    <row r="41" spans="1:15" ht="16" customHeight="1" x14ac:dyDescent="0.2">
      <c r="A41" s="11" t="s">
        <v>11</v>
      </c>
      <c r="D41" s="4"/>
      <c r="E41" s="4"/>
      <c r="F41" s="4">
        <v>10</v>
      </c>
      <c r="G41" s="3"/>
      <c r="I41" s="5" t="s">
        <v>11</v>
      </c>
      <c r="J41" s="2"/>
      <c r="K41" s="2"/>
      <c r="L41" s="4"/>
      <c r="M41" s="4"/>
      <c r="N41" s="4">
        <f>SUM(N38:N40)</f>
        <v>10</v>
      </c>
      <c r="O41" s="4">
        <f>SUM(O38:O40)</f>
        <v>0</v>
      </c>
    </row>
    <row r="42" spans="1:15" ht="16" customHeight="1" x14ac:dyDescent="0.2">
      <c r="A42" s="11" t="s">
        <v>2</v>
      </c>
      <c r="D42" s="4"/>
      <c r="E42" s="4"/>
      <c r="F42" s="4">
        <f>F41+F29</f>
        <v>30.4</v>
      </c>
      <c r="G42" s="3"/>
      <c r="H42" s="11"/>
      <c r="I42" s="5" t="s">
        <v>2</v>
      </c>
      <c r="J42" s="2"/>
      <c r="K42" s="2"/>
      <c r="L42" s="4"/>
      <c r="M42" s="4"/>
      <c r="N42" s="4">
        <v>20</v>
      </c>
      <c r="O42" s="4"/>
    </row>
    <row r="43" spans="1:15" ht="16" customHeight="1" x14ac:dyDescent="0.2">
      <c r="A43" s="11"/>
      <c r="D43" s="4"/>
      <c r="E43" s="4"/>
      <c r="F43" s="3"/>
      <c r="G43" s="3"/>
      <c r="H43" s="11"/>
      <c r="I43" s="5"/>
      <c r="J43" s="2"/>
      <c r="K43" s="2"/>
      <c r="L43" s="4"/>
      <c r="M43" s="4"/>
      <c r="N43" s="3"/>
      <c r="O43" s="3"/>
    </row>
    <row r="44" spans="1:15" ht="16" customHeight="1" x14ac:dyDescent="0.2">
      <c r="A44" s="11"/>
      <c r="E44" s="2" t="s">
        <v>20</v>
      </c>
      <c r="F44" s="1" t="s">
        <v>36</v>
      </c>
      <c r="G44" s="10"/>
      <c r="I44" s="5"/>
      <c r="J44" s="2"/>
      <c r="K44" s="2"/>
      <c r="L44" s="2"/>
      <c r="M44" s="2" t="s">
        <v>20</v>
      </c>
      <c r="N44" s="1" t="s">
        <v>36</v>
      </c>
      <c r="O44" s="1"/>
    </row>
    <row r="45" spans="1:15" ht="16" customHeight="1" x14ac:dyDescent="0.2">
      <c r="E45" s="2" t="s">
        <v>35</v>
      </c>
      <c r="F45" s="10" t="s">
        <v>32</v>
      </c>
      <c r="G45" s="10"/>
      <c r="M45" s="2" t="s">
        <v>35</v>
      </c>
      <c r="N45" s="10" t="s">
        <v>32</v>
      </c>
      <c r="O45" s="10"/>
    </row>
    <row r="46" spans="1:15" ht="16" customHeight="1" x14ac:dyDescent="0.2">
      <c r="E46" s="2" t="s">
        <v>16</v>
      </c>
      <c r="F46" s="10" t="s">
        <v>7</v>
      </c>
      <c r="M46" s="2" t="s">
        <v>16</v>
      </c>
      <c r="N46" s="10" t="s">
        <v>7</v>
      </c>
    </row>
  </sheetData>
  <mergeCells count="12">
    <mergeCell ref="J25:K25"/>
    <mergeCell ref="L25:M25"/>
    <mergeCell ref="J37:K37"/>
    <mergeCell ref="L37:M37"/>
    <mergeCell ref="B37:C37"/>
    <mergeCell ref="D37:E37"/>
    <mergeCell ref="B3:C3"/>
    <mergeCell ref="D3:E3"/>
    <mergeCell ref="B14:C14"/>
    <mergeCell ref="D14:E14"/>
    <mergeCell ref="B27:C27"/>
    <mergeCell ref="D27:E27"/>
  </mergeCells>
  <phoneticPr fontId="3" type="noConversion"/>
  <pageMargins left="0.75" right="0.75" top="1" bottom="1" header="0.5" footer="0.5"/>
  <pageSetup paperSize="9" scale="40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SSIV_standard</vt:lpstr>
    </vt:vector>
  </TitlesOfParts>
  <Company>Institute of Medical Virology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Dagmara Lewandowska</dc:creator>
  <cp:lastModifiedBy>ssc</cp:lastModifiedBy>
  <cp:lastPrinted>2017-10-30T12:14:25Z</cp:lastPrinted>
  <dcterms:created xsi:type="dcterms:W3CDTF">2015-04-10T11:22:29Z</dcterms:created>
  <dcterms:modified xsi:type="dcterms:W3CDTF">2018-06-11T14:56:48Z</dcterms:modified>
</cp:coreProperties>
</file>