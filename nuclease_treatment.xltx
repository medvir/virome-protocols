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schmutz.stefan/Dropbox/GitHub/virome-reports/protocols/"/>
    </mc:Choice>
  </mc:AlternateContent>
  <bookViews>
    <workbookView xWindow="6880" yWindow="1900" windowWidth="28160" windowHeight="16880" tabRatio="500"/>
  </bookViews>
  <sheets>
    <sheet name="nuclease_treatment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7" i="1"/>
  <c r="F5" i="1"/>
  <c r="F2" i="1"/>
  <c r="F3" i="1"/>
  <c r="F4" i="1"/>
</calcChain>
</file>

<file path=xl/sharedStrings.xml><?xml version="1.0" encoding="utf-8"?>
<sst xmlns="http://schemas.openxmlformats.org/spreadsheetml/2006/main" count="16" uniqueCount="14">
  <si>
    <t>stock</t>
  </si>
  <si>
    <t>final</t>
    <phoneticPr fontId="0" type="noConversion"/>
  </si>
  <si>
    <t>x</t>
    <phoneticPr fontId="0" type="noConversion"/>
  </si>
  <si>
    <t>RNase A</t>
  </si>
  <si>
    <t>U/mL</t>
  </si>
  <si>
    <t>U/µL</t>
  </si>
  <si>
    <t>sample</t>
  </si>
  <si>
    <t>TURBO DNase buffer</t>
  </si>
  <si>
    <t>TURBO DNase</t>
  </si>
  <si>
    <t>-</t>
  </si>
  <si>
    <t>reagent</t>
  </si>
  <si>
    <t>U</t>
  </si>
  <si>
    <t>µL</t>
  </si>
  <si>
    <r>
      <t>H</t>
    </r>
    <r>
      <rPr>
        <vertAlign val="subscript"/>
        <sz val="12"/>
        <rFont val="Arial"/>
      </rPr>
      <t>2</t>
    </r>
    <r>
      <rPr>
        <sz val="12"/>
        <rFont val="Arial"/>
      </rPr>
      <t>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</si>
</sst>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name val="Arial"/>
    </font>
    <font>
      <sz val="12"/>
      <color theme="1"/>
      <name val="Arial"/>
    </font>
    <font>
      <vertAlign val="subscript"/>
      <sz val="12"/>
      <name val="Arial"/>
    </font>
    <font>
      <b/>
      <sz val="12"/>
      <name val="Arial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Fill="1" applyBorder="1" applyAlignment="1">
      <alignment horizontal="left"/>
    </xf>
    <xf numFmtId="0" fontId="2" fillId="0" borderId="0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0" borderId="0" xfId="0" applyFont="1" applyBorder="1"/>
    <xf numFmtId="0" fontId="2" fillId="0" borderId="2" xfId="0" applyFont="1" applyFill="1" applyBorder="1" applyAlignment="1">
      <alignment horizontal="left"/>
    </xf>
    <xf numFmtId="1" fontId="2" fillId="0" borderId="2" xfId="0" applyNumberFormat="1" applyFont="1" applyFill="1" applyBorder="1" applyAlignment="1">
      <alignment horizontal="left"/>
    </xf>
    <xf numFmtId="1" fontId="2" fillId="0" borderId="2" xfId="0" applyNumberFormat="1" applyFont="1" applyFill="1" applyBorder="1" applyAlignment="1">
      <alignment horizontal="right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1" fontId="3" fillId="0" borderId="0" xfId="0" applyNumberFormat="1" applyFont="1" applyFill="1" applyBorder="1" applyAlignment="1">
      <alignment horizontal="right"/>
    </xf>
    <xf numFmtId="1" fontId="2" fillId="0" borderId="0" xfId="0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2" fontId="2" fillId="0" borderId="1" xfId="0" applyNumberFormat="1" applyFont="1" applyFill="1" applyBorder="1" applyAlignment="1">
      <alignment horizontal="left"/>
    </xf>
    <xf numFmtId="1" fontId="2" fillId="0" borderId="1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164" fontId="5" fillId="0" borderId="0" xfId="0" applyNumberFormat="1" applyFont="1" applyFill="1" applyBorder="1" applyAlignment="1">
      <alignment horizontal="left"/>
    </xf>
    <xf numFmtId="49" fontId="2" fillId="0" borderId="0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4" fontId="3" fillId="0" borderId="2" xfId="0" applyNumberFormat="1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164" fontId="3" fillId="0" borderId="1" xfId="0" quotePrefix="1" applyNumberFormat="1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444500</xdr:colOff>
      <xdr:row>1</xdr:row>
      <xdr:rowOff>88900</xdr:rowOff>
    </xdr:from>
    <xdr:to>
      <xdr:col>13</xdr:col>
      <xdr:colOff>457200</xdr:colOff>
      <xdr:row>5</xdr:row>
      <xdr:rowOff>76200</xdr:rowOff>
    </xdr:to>
    <xdr:sp macro="" textlink="">
      <xdr:nvSpPr>
        <xdr:cNvPr id="2" name="TextBox 1"/>
        <xdr:cNvSpPr txBox="1"/>
      </xdr:nvSpPr>
      <xdr:spPr>
        <a:xfrm>
          <a:off x="5397500" y="292100"/>
          <a:ext cx="4965700" cy="82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charset="0"/>
              <a:ea typeface="Arial" charset="0"/>
              <a:cs typeface="Arial" charset="0"/>
            </a:rPr>
            <a:t>How to use:</a:t>
          </a:r>
        </a:p>
        <a:p>
          <a:r>
            <a:rPr lang="en-US" sz="1100">
              <a:latin typeface="Arial" charset="0"/>
              <a:ea typeface="Arial" charset="0"/>
              <a:cs typeface="Arial" charset="0"/>
            </a:rPr>
            <a:t>- insert</a:t>
          </a:r>
          <a:r>
            <a:rPr lang="en-US" sz="1100" baseline="0">
              <a:latin typeface="Arial" charset="0"/>
              <a:ea typeface="Arial" charset="0"/>
              <a:cs typeface="Arial" charset="0"/>
            </a:rPr>
            <a:t> amount of reactions in green field</a:t>
          </a:r>
        </a:p>
        <a:p>
          <a:r>
            <a:rPr lang="en-US" sz="1100" baseline="0">
              <a:latin typeface="Arial" charset="0"/>
              <a:ea typeface="Arial" charset="0"/>
              <a:cs typeface="Arial" charset="0"/>
            </a:rPr>
            <a:t>- all volumes are then calculated in µL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latin typeface="Arial" charset="0"/>
              <a:ea typeface="Arial" charset="0"/>
              <a:cs typeface="Arial" charset="0"/>
            </a:rPr>
            <a:t>- find detailed info about the procedure in README.md (Nuclease treatment)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latin typeface="Arial" charset="0"/>
            <a:ea typeface="Arial" charset="0"/>
            <a:cs typeface="Arial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tabSelected="1" workbookViewId="0"/>
  </sheetViews>
  <sheetFormatPr baseColWidth="10" defaultRowHeight="16" x14ac:dyDescent="0.2"/>
  <cols>
    <col min="1" max="1" width="20.5" style="4" bestFit="1" customWidth="1"/>
    <col min="2" max="2" width="6.83203125" style="4" customWidth="1"/>
    <col min="3" max="3" width="6.1640625" style="4" customWidth="1"/>
    <col min="4" max="4" width="6.83203125" style="4" customWidth="1"/>
    <col min="5" max="5" width="5.5" style="4" bestFit="1" customWidth="1"/>
    <col min="6" max="6" width="10.83203125" style="8"/>
    <col min="7" max="16384" width="10.83203125" style="4"/>
  </cols>
  <sheetData>
    <row r="1" spans="1:7" x14ac:dyDescent="0.2">
      <c r="A1" s="1" t="s">
        <v>10</v>
      </c>
      <c r="B1" s="19" t="s">
        <v>0</v>
      </c>
      <c r="C1" s="20"/>
      <c r="D1" s="19" t="s">
        <v>1</v>
      </c>
      <c r="E1" s="20"/>
      <c r="F1" s="2" t="s">
        <v>12</v>
      </c>
      <c r="G1" s="3"/>
    </row>
    <row r="2" spans="1:7" ht="18" x14ac:dyDescent="0.25">
      <c r="A2" s="5" t="s">
        <v>13</v>
      </c>
      <c r="B2" s="5"/>
      <c r="C2" s="5"/>
      <c r="D2" s="6"/>
      <c r="E2" s="6"/>
      <c r="F2" s="7">
        <f>F7-SUM(F3:F6)</f>
        <v>135</v>
      </c>
      <c r="G2" s="21">
        <f>F2*G$1</f>
        <v>0</v>
      </c>
    </row>
    <row r="3" spans="1:7" x14ac:dyDescent="0.2">
      <c r="A3" s="8" t="s">
        <v>7</v>
      </c>
      <c r="B3" s="9">
        <v>10</v>
      </c>
      <c r="C3" s="10" t="s">
        <v>2</v>
      </c>
      <c r="D3" s="11">
        <v>1</v>
      </c>
      <c r="E3" s="10" t="s">
        <v>2</v>
      </c>
      <c r="F3" s="12">
        <f>D3*F$7/B3</f>
        <v>130</v>
      </c>
      <c r="G3" s="22">
        <f t="shared" ref="G3:G5" si="0">F3*G$1</f>
        <v>0</v>
      </c>
    </row>
    <row r="4" spans="1:7" x14ac:dyDescent="0.2">
      <c r="A4" s="8" t="s">
        <v>8</v>
      </c>
      <c r="B4" s="9">
        <v>2</v>
      </c>
      <c r="C4" s="8" t="s">
        <v>5</v>
      </c>
      <c r="D4" s="9">
        <v>50</v>
      </c>
      <c r="E4" s="10" t="s">
        <v>11</v>
      </c>
      <c r="F4" s="12">
        <f>D4/B4</f>
        <v>25</v>
      </c>
      <c r="G4" s="22">
        <f t="shared" si="0"/>
        <v>0</v>
      </c>
    </row>
    <row r="5" spans="1:7" x14ac:dyDescent="0.2">
      <c r="A5" s="13" t="s">
        <v>3</v>
      </c>
      <c r="B5" s="2">
        <v>7000</v>
      </c>
      <c r="C5" s="13" t="s">
        <v>4</v>
      </c>
      <c r="D5" s="12">
        <v>70</v>
      </c>
      <c r="E5" s="13" t="s">
        <v>11</v>
      </c>
      <c r="F5" s="12">
        <f>D5/B5*1000</f>
        <v>10</v>
      </c>
      <c r="G5" s="22">
        <f t="shared" si="0"/>
        <v>0</v>
      </c>
    </row>
    <row r="6" spans="1:7" x14ac:dyDescent="0.2">
      <c r="A6" s="14" t="s">
        <v>6</v>
      </c>
      <c r="B6" s="14"/>
      <c r="C6" s="14"/>
      <c r="D6" s="15"/>
      <c r="E6" s="14"/>
      <c r="F6" s="16">
        <v>1000</v>
      </c>
      <c r="G6" s="23" t="s">
        <v>9</v>
      </c>
    </row>
    <row r="7" spans="1:7" x14ac:dyDescent="0.2">
      <c r="A7" s="13"/>
      <c r="B7" s="17"/>
      <c r="C7" s="17"/>
      <c r="D7" s="18"/>
      <c r="E7" s="18"/>
      <c r="F7" s="12">
        <v>1300</v>
      </c>
      <c r="G7" s="22">
        <f>SUM(G2:G6)</f>
        <v>0</v>
      </c>
    </row>
  </sheetData>
  <mergeCells count="2">
    <mergeCell ref="B1:C1"/>
    <mergeCell ref="D1:E1"/>
  </mergeCells>
  <phoneticPr fontId="1" type="noConversion"/>
  <pageMargins left="0.7" right="0.7" top="0.75" bottom="0.75" header="0.3" footer="0.3"/>
  <pageSetup paperSize="9" scale="50" orientation="portrait" horizontalDpi="0" verticalDpi="0"/>
  <colBreaks count="1" manualBreakCount="1">
    <brk id="6" max="1048575" man="1"/>
  </colBreak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nuclease_treatment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Fabienne-Desirée Geissberger</dc:creator>
  <cp:lastModifiedBy>ssc</cp:lastModifiedBy>
  <cp:lastPrinted>2016-12-05T13:45:57Z</cp:lastPrinted>
  <dcterms:created xsi:type="dcterms:W3CDTF">2016-09-05T09:20:00Z</dcterms:created>
  <dcterms:modified xsi:type="dcterms:W3CDTF">2017-12-12T09:12:34Z</dcterms:modified>
</cp:coreProperties>
</file>